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 sheetId="1" state="visible" r:id="rId3"/>
    <sheet name="Sprint Stories" sheetId="2" state="visible" r:id="rId4"/>
    <sheet name="Team Loa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<sst xmlns="http://schemas.openxmlformats.org/spreadsheetml/2006/main" count="510" uniqueCount="274">
  <si>
    <t xml:space="preserve">CCNA-12  |  Secure Campus Segmentation and Access Control for FIDS  |  Schedule and Time Management</t>
  </si>
  <si>
    <t xml:space="preserve">Project Manager: Carl Edouard     Sponsor: Fairmont Integrated Defense Solutions     Built on the eight week WBS in Appendix B of the signed scope, tracked in Jira as five sprints</t>
  </si>
  <si>
    <t xml:space="preserve">Start</t>
  </si>
  <si>
    <t xml:space="preserve">Baseline finish (signed scope)</t>
  </si>
  <si>
    <t xml:space="preserve">Forecast finish</t>
  </si>
  <si>
    <t xml:space="preserve">Course deadline</t>
  </si>
  <si>
    <t xml:space="preserve">Total duration (days)</t>
  </si>
  <si>
    <t xml:space="preserve">Buffer left before deadline (days)</t>
  </si>
  <si>
    <t xml:space="preserve">Tasks complete</t>
  </si>
  <si>
    <t xml:space="preserve">SEP</t>
  </si>
  <si>
    <t xml:space="preserve">OCT</t>
  </si>
  <si>
    <t xml:space="preserve">NOV</t>
  </si>
  <si>
    <t xml:space="preserve">DEC</t>
  </si>
  <si>
    <t xml:space="preserve">WBS</t>
  </si>
  <si>
    <t xml:space="preserve">Activity</t>
  </si>
  <si>
    <t xml:space="preserve">Owner</t>
  </si>
  <si>
    <t xml:space="preserve">Finish</t>
  </si>
  <si>
    <t xml:space="preserve">Days</t>
  </si>
  <si>
    <t xml:space="preserve">Depends on</t>
  </si>
  <si>
    <t xml:space="preserve">Status</t>
  </si>
  <si>
    <t xml:space="preserve">Type</t>
  </si>
  <si>
    <t xml:space="preserve">Baseline start</t>
  </si>
  <si>
    <t xml:space="preserve">Baseline finish</t>
  </si>
  <si>
    <t xml:space="preserve">Slip (days)</t>
  </si>
  <si>
    <t xml:space="preserve">S1</t>
  </si>
  <si>
    <t xml:space="preserve">SPRINT 1  (Jira)</t>
  </si>
  <si>
    <t xml:space="preserve">All</t>
  </si>
  <si>
    <t xml:space="preserve">Complete</t>
  </si>
  <si>
    <t xml:space="preserve">Sprint</t>
  </si>
  <si>
    <t xml:space="preserve">W1</t>
  </si>
  <si>
    <t xml:space="preserve">WEEK 1  Understand the job and lay the foundation</t>
  </si>
  <si>
    <t xml:space="preserve">Week</t>
  </si>
  <si>
    <t xml:space="preserve">1.1</t>
  </si>
  <si>
    <t xml:space="preserve">Read the scope, list every requirement, and log questions for the sponsor</t>
  </si>
  <si>
    <t xml:space="preserve">Carl</t>
  </si>
  <si>
    <t xml:space="preserve">Task</t>
  </si>
  <si>
    <t xml:space="preserve">1.2</t>
  </si>
  <si>
    <t xml:space="preserve">Study the core skills in NetAcad: VLANs, OSPF routing and ACL rules (SRWE 3 and 4, ENSA 1 to 4)</t>
  </si>
  <si>
    <t xml:space="preserve">1.3</t>
  </si>
  <si>
    <t xml:space="preserve">Draw the physical layout: where each router and switch sits, which zone joins which OSPF area, how it is all cabled</t>
  </si>
  <si>
    <t xml:space="preserve">Devam</t>
  </si>
  <si>
    <t xml:space="preserve">1.4</t>
  </si>
  <si>
    <t xml:space="preserve">Agree on one naming system for devices and port descriptions so every config reads the same way</t>
  </si>
  <si>
    <t xml:space="preserve">Carl, Devam</t>
  </si>
  <si>
    <t xml:space="preserve">1.5</t>
  </si>
  <si>
    <t xml:space="preserve">Create the GitHub repository; all four members commit the starting topology</t>
  </si>
  <si>
    <t xml:space="preserve">1.6</t>
  </si>
  <si>
    <t xml:space="preserve">Set up the Jira board with five sprints to track the work</t>
  </si>
  <si>
    <t xml:space="preserve">G1</t>
  </si>
  <si>
    <t xml:space="preserve">GATE  Layout and naming agreed by all four, everyone committing to GitHub</t>
  </si>
  <si>
    <t xml:space="preserve">1.3, 1.4, 1.5</t>
  </si>
  <si>
    <t xml:space="preserve">Gate</t>
  </si>
  <si>
    <t xml:space="preserve">W2</t>
  </si>
  <si>
    <t xml:space="preserve">WEEK 2  Plan every address and every rule on paper before touching a device</t>
  </si>
  <si>
    <t xml:space="preserve">Jaden, Carl</t>
  </si>
  <si>
    <t xml:space="preserve">In progress</t>
  </si>
  <si>
    <t xml:space="preserve">2.1</t>
  </si>
  <si>
    <t xml:space="preserve">Addressing plan (VLSM): size each zone's IP range so the whole zone can be advertised as one summary route at its border router</t>
  </si>
  <si>
    <t xml:space="preserve">Jaden</t>
  </si>
  <si>
    <t xml:space="preserve">2.2</t>
  </si>
  <si>
    <t xml:space="preserve">Map each VLAN to its OSPF area and write down why</t>
  </si>
  <si>
    <t xml:space="preserve">2.3</t>
  </si>
  <si>
    <t xml:space="preserve">Policy matrix: for every pair of zones, in each direction, decide allow or block and record the reason</t>
  </si>
  <si>
    <t xml:space="preserve">Jaden, Michael</t>
  </si>
  <si>
    <t xml:space="preserve">2.4</t>
  </si>
  <si>
    <t xml:space="preserve">Give each router a fixed router ID and map the path traffic should take between zones</t>
  </si>
  <si>
    <t xml:space="preserve">2.5</t>
  </si>
  <si>
    <t xml:space="preserve">Sponsor acknowledges the scope on Discord</t>
  </si>
  <si>
    <t xml:space="preserve">2.6</t>
  </si>
  <si>
    <t xml:space="preserve">PM Readiness Package submitted on Canvas</t>
  </si>
  <si>
    <t xml:space="preserve">2.7</t>
  </si>
  <si>
    <t xml:space="preserve">PM approves the addressing plan, then sends the plan and matrix to Thompson</t>
  </si>
  <si>
    <t xml:space="preserve">2.1, 2.3, 2.5</t>
  </si>
  <si>
    <t xml:space="preserve">Not started</t>
  </si>
  <si>
    <t xml:space="preserve">G2</t>
  </si>
  <si>
    <t xml:space="preserve">GATE  SPONSOR DESIGN REVIEW: Thompson approves the plan and matrix. Nothing is configured before this.</t>
  </si>
  <si>
    <t xml:space="preserve">Replanned</t>
  </si>
  <si>
    <t xml:space="preserve">S2</t>
  </si>
  <si>
    <t xml:space="preserve">SPRINT 2  (Jira)</t>
  </si>
  <si>
    <t xml:space="preserve">W3</t>
  </si>
  <si>
    <t xml:space="preserve">WEEK 3  Build the backbone and the zones, with no blocking yet</t>
  </si>
  <si>
    <t xml:space="preserve">3.0</t>
  </si>
  <si>
    <t xml:space="preserve">Prep during the review: place and cable every device in Packet Tracer, write each config as a text file ready to paste</t>
  </si>
  <si>
    <t xml:space="preserve">3.1</t>
  </si>
  <si>
    <t xml:space="preserve">Bring up the management backbone and OSPF routing across all areas, using the fixed router IDs</t>
  </si>
  <si>
    <t xml:space="preserve">G2, 3.0</t>
  </si>
  <si>
    <t xml:space="preserve">3.2</t>
  </si>
  <si>
    <t xml:space="preserve">Create each zone's VLANs, link switches with 802.1Q trunks, and turn on routing between VLANs</t>
  </si>
  <si>
    <t xml:space="preserve">Jaden, Michael, Devam</t>
  </si>
  <si>
    <t xml:space="preserve">3.3</t>
  </si>
  <si>
    <t xml:space="preserve">Ping test inside every zone and save proof that the routers became OSPF neighbors</t>
  </si>
  <si>
    <t xml:space="preserve">Michael</t>
  </si>
  <si>
    <t xml:space="preserve">3.1, 3.2</t>
  </si>
  <si>
    <t xml:space="preserve">3.4</t>
  </si>
  <si>
    <t xml:space="preserve">Confirm each border router advertises its zone as one summary route, matching the Week 2 plan</t>
  </si>
  <si>
    <t xml:space="preserve">3.5</t>
  </si>
  <si>
    <t xml:space="preserve">Save a before snapshot of traffic so the effect of the ACLs can be shown later</t>
  </si>
  <si>
    <t xml:space="preserve">G3</t>
  </si>
  <si>
    <t xml:space="preserve">GATE  All OSPF neighbors FULL, every zone reaches itself, summary routes visible, no ACLs yet</t>
  </si>
  <si>
    <t xml:space="preserve">3.3, 3.4, 3.5</t>
  </si>
  <si>
    <t xml:space="preserve">S3</t>
  </si>
  <si>
    <t xml:space="preserve">SPRINT 3  (Jira)</t>
  </si>
  <si>
    <t xml:space="preserve">W4</t>
  </si>
  <si>
    <t xml:space="preserve">WEEK 4  Turn on the rules between zones (ACLs)</t>
  </si>
  <si>
    <t xml:space="preserve">4.1</t>
  </si>
  <si>
    <t xml:space="preserve">Write extended ACLs for every zone border, check each line against the matrix, then apply them</t>
  </si>
  <si>
    <t xml:space="preserve">4.2</t>
  </si>
  <si>
    <t xml:space="preserve">DMZ rules by service: allow only the named services on each server, block every other port</t>
  </si>
  <si>
    <t xml:space="preserve">Devam, Jaden</t>
  </si>
  <si>
    <t xml:space="preserve">4.3</t>
  </si>
  <si>
    <t xml:space="preserve">Test allowed traffic first, then confirm blocked traffic is actually blocked</t>
  </si>
  <si>
    <t xml:space="preserve">4.4</t>
  </si>
  <si>
    <t xml:space="preserve">Capture ACL hit counters before and after each test; confirm Contractor/Guest reaches nothing internal</t>
  </si>
  <si>
    <t xml:space="preserve">G4</t>
  </si>
  <si>
    <t xml:space="preserve">GATE  Every rule does what the matrix says, and hit counters prove it</t>
  </si>
  <si>
    <t xml:space="preserve">4.2, 4.4</t>
  </si>
  <si>
    <t xml:space="preserve">W5</t>
  </si>
  <si>
    <t xml:space="preserve">WEEK 5  Test every zone pair and train on each other's zones</t>
  </si>
  <si>
    <t xml:space="preserve">5.1</t>
  </si>
  <si>
    <t xml:space="preserve">Test every pair of zones in both directions and save proof for each one</t>
  </si>
  <si>
    <t xml:space="preserve">Michael, All</t>
  </si>
  <si>
    <t xml:space="preserve">5.2</t>
  </si>
  <si>
    <t xml:space="preserve">Turn on logging for key block rules and capture a blocked attempt as it happens</t>
  </si>
  <si>
    <t xml:space="preserve">5.3</t>
  </si>
  <si>
    <t xml:space="preserve">Fix any zone pair that does not behave the way the matrix says it should</t>
  </si>
  <si>
    <t xml:space="preserve">5.4</t>
  </si>
  <si>
    <t xml:space="preserve">Cross training: each member finds and fixes a fault planted in someone else's zone</t>
  </si>
  <si>
    <t xml:space="preserve">G5</t>
  </si>
  <si>
    <t xml:space="preserve">GATE  Every zone pair proven; every member has fixed a fault outside their own zone</t>
  </si>
  <si>
    <t xml:space="preserve">5.3, 5.4</t>
  </si>
  <si>
    <t xml:space="preserve">S4</t>
  </si>
  <si>
    <t xml:space="preserve">SPRINT 4  (Jira)</t>
  </si>
  <si>
    <t xml:space="preserve">W6</t>
  </si>
  <si>
    <t xml:space="preserve">WEEK 6  Lock it down, then break it on purpose</t>
  </si>
  <si>
    <t xml:space="preserve">6.1</t>
  </si>
  <si>
    <t xml:space="preserve">Harden device access on every router and switch so only authorized admins can log in</t>
  </si>
  <si>
    <t xml:space="preserve">6.2</t>
  </si>
  <si>
    <t xml:space="preserve">OSPF authentication on backbone links so only trusted routers share routes; user facing ports set passive</t>
  </si>
  <si>
    <t xml:space="preserve">6.3</t>
  </si>
  <si>
    <t xml:space="preserve">Cut a zone link on purpose and time how long OSPF takes to find a new path</t>
  </si>
  <si>
    <t xml:space="preserve">Michael, Carl</t>
  </si>
  <si>
    <t xml:space="preserve">6.4</t>
  </si>
  <si>
    <t xml:space="preserve">Remove a border ACL and put it back, confirming nothing slips through in between</t>
  </si>
  <si>
    <t xml:space="preserve">6.5</t>
  </si>
  <si>
    <t xml:space="preserve">After rerouting, recheck a sample of zone pairs to prove the rules still hold</t>
  </si>
  <si>
    <t xml:space="preserve">G6</t>
  </si>
  <si>
    <t xml:space="preserve">GATE  Hardening done, every failure test run once, rules still enforced afterward</t>
  </si>
  <si>
    <t xml:space="preserve">6.4, 6.5</t>
  </si>
  <si>
    <t xml:space="preserve">W7</t>
  </si>
  <si>
    <t xml:space="preserve">WEEK 7  Run every test three times and write it all down</t>
  </si>
  <si>
    <t xml:space="preserve">Michael, Devam</t>
  </si>
  <si>
    <t xml:space="preserve">7.1</t>
  </si>
  <si>
    <t xml:space="preserve">Run every acceptance test; anything timed gets three runs</t>
  </si>
  <si>
    <t xml:space="preserve">7.2</t>
  </si>
  <si>
    <t xml:space="preserve">Record backup paths and recovery times with timestamps</t>
  </si>
  <si>
    <t xml:space="preserve">7.3</t>
  </si>
  <si>
    <t xml:space="preserve">Export every device config and add notes explaining any choice that is not obvious</t>
  </si>
  <si>
    <t xml:space="preserve">Devam, All</t>
  </si>
  <si>
    <t xml:space="preserve">7.4</t>
  </si>
  <si>
    <t xml:space="preserve">Finish the logical and physical diagrams so they match the real build</t>
  </si>
  <si>
    <t xml:space="preserve">7.5</t>
  </si>
  <si>
    <t xml:space="preserve">Draft the final report and the reasoning behind each design choice</t>
  </si>
  <si>
    <t xml:space="preserve">Devam, Carl</t>
  </si>
  <si>
    <t xml:space="preserve">G7</t>
  </si>
  <si>
    <t xml:space="preserve">GATE  Every result logged with three runs each, diagrams match the build</t>
  </si>
  <si>
    <t xml:space="preserve">7.2, 7.4</t>
  </si>
  <si>
    <t xml:space="preserve">S5</t>
  </si>
  <si>
    <t xml:space="preserve">SPRINT 5  (Jira)</t>
  </si>
  <si>
    <t xml:space="preserve">W8</t>
  </si>
  <si>
    <t xml:space="preserve">WEEK 8  Freeze, rehearse, deliver</t>
  </si>
  <si>
    <t xml:space="preserve">8.1</t>
  </si>
  <si>
    <t xml:space="preserve">Freeze the configuration and rerun the full Appendix F test plan one last time</t>
  </si>
  <si>
    <t xml:space="preserve">8.X</t>
  </si>
  <si>
    <t xml:space="preserve">Thanksgiving, no work planned</t>
  </si>
  <si>
    <t xml:space="preserve">Blackout</t>
  </si>
  <si>
    <t xml:space="preserve">8.2</t>
  </si>
  <si>
    <t xml:space="preserve">Finish the report, including known limits and the root cause of any test that failed</t>
  </si>
  <si>
    <t xml:space="preserve">8.3</t>
  </si>
  <si>
    <t xml:space="preserve">Record the video demo with all four members narrating</t>
  </si>
  <si>
    <t xml:space="preserve">8.4</t>
  </si>
  <si>
    <t xml:space="preserve">Build the slides and rehearse the full presentation twice</t>
  </si>
  <si>
    <t xml:space="preserve">8.5</t>
  </si>
  <si>
    <t xml:space="preserve">Practice Q and A: each member answers questions on a zone they did not build</t>
  </si>
  <si>
    <t xml:space="preserve">G8</t>
  </si>
  <si>
    <t xml:space="preserve">GATE  FINAL DELIVERY: package submitted, all four ready for any question</t>
  </si>
  <si>
    <t xml:space="preserve">8.2, 8.5</t>
  </si>
  <si>
    <t xml:space="preserve">BUF</t>
  </si>
  <si>
    <t xml:space="preserve">Buffer: spare days between final delivery and the course deadline</t>
  </si>
  <si>
    <t xml:space="preserve">Reserve</t>
  </si>
  <si>
    <t xml:space="preserve">END</t>
  </si>
  <si>
    <t xml:space="preserve">Deadline</t>
  </si>
  <si>
    <t xml:space="preserve">MTG</t>
  </si>
  <si>
    <t xml:space="preserve">Weekly team meeting: two hours minimum, all four present, run by Carl</t>
  </si>
  <si>
    <t xml:space="preserve">Ongoing</t>
  </si>
  <si>
    <t xml:space="preserve">Recurring</t>
  </si>
  <si>
    <t xml:space="preserve">How to read this</t>
  </si>
  <si>
    <t xml:space="preserve">Jira sprint window</t>
  </si>
  <si>
    <t xml:space="preserve">Scope week, current forecast</t>
  </si>
  <si>
    <t xml:space="preserve">Scope week, original baseline (where it was supposed to be)</t>
  </si>
  <si>
    <t xml:space="preserve">Task complete</t>
  </si>
  <si>
    <t xml:space="preserve">Gate: the team does not move on until it passes</t>
  </si>
  <si>
    <t xml:space="preserve">Buffer</t>
  </si>
  <si>
    <t xml:space="preserve">Today</t>
  </si>
  <si>
    <t xml:space="preserve">PM notes</t>
  </si>
  <si>
    <t xml:space="preserve">Why Week 2 moved. Thompson's design review was planned for Oct 10. He acknowledged the scope on Oct 8, which left no time to review a design that same week. The plan and matrix go to him Oct 15, the review is targeted for Oct 17, and the build weeks after it move back one week.</t>
  </si>
  <si>
    <t xml:space="preserve">Why we did not cram to catch up. The scope says a missed gate means the PM replans instead of rushing. Every later week keeps its full five days. The lost week comes out of the buffer before the course deadline, which drops from two weeks to three days.</t>
  </si>
  <si>
    <t xml:space="preserve">How Week 3 still started on time. While the review is pending, the team places and cables every device and writes each config as a text file. Nothing is loaded onto a device until Thompson approves, so the gate holds and no time is wasted.</t>
  </si>
  <si>
    <t xml:space="preserve">Backup plan if we need more room. Start the Week 7 paperwork (config export, diagrams) during Week 6 testing, since those do not depend on the test results.</t>
  </si>
  <si>
    <t xml:space="preserve">Thanksgiving lands in Week 8, so the report and video start the day after and practice Q and A moves to Dec 1.</t>
  </si>
  <si>
    <t xml:space="preserve">Why this order. If ACL rules go on top of broken routing, there is no way to tell which one caused a problem. So routing is proven first, then the rules, then hardening.</t>
  </si>
  <si>
    <t xml:space="preserve">Every bar, duration and slip number is calculated from the dates. Change a date and the chart redraws itself.</t>
  </si>
  <si>
    <t xml:space="preserve">What each week delivers and who it is for</t>
  </si>
  <si>
    <t xml:space="preserve">Jira sprint</t>
  </si>
  <si>
    <t xml:space="preserve">Scope week</t>
  </si>
  <si>
    <t xml:space="preserve">Window</t>
  </si>
  <si>
    <t xml:space="preserve">User story</t>
  </si>
  <si>
    <t xml:space="preserve">Done when (gate)</t>
  </si>
  <si>
    <t xml:space="preserve">1</t>
  </si>
  <si>
    <t xml:space="preserve">Sep 29 to Oct 3</t>
  </si>
  <si>
    <t xml:space="preserve">As the sponsor, I want the team working from one topology and one naming scheme so every config and diagram reads the same.</t>
  </si>
  <si>
    <t xml:space="preserve">Topology and naming agreed, all four committing</t>
  </si>
  <si>
    <t xml:space="preserve">1 into 2</t>
  </si>
  <si>
    <t xml:space="preserve">2</t>
  </si>
  <si>
    <t xml:space="preserve">Oct 6 to Oct 17</t>
  </si>
  <si>
    <t xml:space="preserve">As the network engineer, I want an addressing plan that summarizes cleanly at each area border so routing tables stay small and readable.</t>
  </si>
  <si>
    <t xml:space="preserve">Sponsor approves plan and policy matrix</t>
  </si>
  <si>
    <t xml:space="preserve">3</t>
  </si>
  <si>
    <t xml:space="preserve">Oct 20 to Oct 24</t>
  </si>
  <si>
    <t xml:space="preserve">As a user in any zone, I need to reach the rest of my own zone before anyone starts restricting traffic between zones.</t>
  </si>
  <si>
    <t xml:space="preserve">Adjacencies FULL, intra zone reachability proven</t>
  </si>
  <si>
    <t xml:space="preserve">4</t>
  </si>
  <si>
    <t xml:space="preserve">Oct 27 to Oct 31</t>
  </si>
  <si>
    <t xml:space="preserve">As the security officer, I want contractors and guests kept out of every internal resource while each department keeps the access it actually needs.</t>
  </si>
  <si>
    <t xml:space="preserve">Every rule behaves as written, hit counters prove it</t>
  </si>
  <si>
    <t xml:space="preserve">5</t>
  </si>
  <si>
    <t xml:space="preserve">Nov 3 to Nov 7</t>
  </si>
  <si>
    <t xml:space="preserve">As an auditor, I want proof for every zone pair in both directions, not just the easy ones.</t>
  </si>
  <si>
    <t xml:space="preserve">Full matrix evidenced, cross training done</t>
  </si>
  <si>
    <t xml:space="preserve">6</t>
  </si>
  <si>
    <t xml:space="preserve">Nov 10 to Nov 14</t>
  </si>
  <si>
    <t xml:space="preserve">As the operations lead, I need the policy to hold after a link fails and OSPF reconverges, and I need routing updates authenticated.</t>
  </si>
  <si>
    <t xml:space="preserve">Hardening applied, every failure scenario passed</t>
  </si>
  <si>
    <t xml:space="preserve">7</t>
  </si>
  <si>
    <t xml:space="preserve">Nov 17 to Nov 21</t>
  </si>
  <si>
    <t xml:space="preserve">As the professor, I want repeatable results: three timed runs, exported configs and diagrams that match the build.</t>
  </si>
  <si>
    <t xml:space="preserve">Matrices complete, diagrams synchronized</t>
  </si>
  <si>
    <t xml:space="preserve">8</t>
  </si>
  <si>
    <t xml:space="preserve">Nov 24 to Dec 1</t>
  </si>
  <si>
    <t xml:space="preserve">As the audience, I want any one of the four presenters to explain any zone, not just their own.</t>
  </si>
  <si>
    <t xml:space="preserve">Package submitted, team rehearsed twice</t>
  </si>
  <si>
    <t xml:space="preserve">Roles, zone ownership and effort (Appendix C of the signed scope)</t>
  </si>
  <si>
    <t xml:space="preserve">Member</t>
  </si>
  <si>
    <t xml:space="preserve">Role</t>
  </si>
  <si>
    <t xml:space="preserve">Owns</t>
  </si>
  <si>
    <t xml:space="preserve">Tasks assigned</t>
  </si>
  <si>
    <t xml:space="preserve">Hrs per week</t>
  </si>
  <si>
    <t xml:space="preserve">Weeks</t>
  </si>
  <si>
    <t xml:space="preserve">Planned hours</t>
  </si>
  <si>
    <t xml:space="preserve">Carl Edouard</t>
  </si>
  <si>
    <t xml:space="preserve">Project Manager and backbone owner</t>
  </si>
  <si>
    <t xml:space="preserve">Management zone, OSPFv2 backbone and its authentication, sponsor relationship, gate checklist</t>
  </si>
  <si>
    <t xml:space="preserve">Jaden Torres</t>
  </si>
  <si>
    <t xml:space="preserve">Zone policy and addressing lead</t>
  </si>
  <si>
    <t xml:space="preserve">Engineering zone, VLSM plan, directional policy matrix, ACL design for every boundary</t>
  </si>
  <si>
    <t xml:space="preserve">Michael Pietrewicz</t>
  </si>
  <si>
    <t xml:space="preserve">Verification and testing lead</t>
  </si>
  <si>
    <t xml:space="preserve">Corporate and Contractor/Guest zones, verification and failure test matrices, evidence archive</t>
  </si>
  <si>
    <t xml:space="preserve">Devam Patel</t>
  </si>
  <si>
    <t xml:space="preserve">Security, documentation and diagram lead</t>
  </si>
  <si>
    <t xml:space="preserve">Server/DMZ zone and its service, device hardening, both diagrams, final report, exported configs</t>
  </si>
  <si>
    <t xml:space="preserve">Team total</t>
  </si>
  <si>
    <t xml:space="preserve">Hours follow the signed scope: 4 members, 12 hours a week, 8 weeks.</t>
  </si>
  <si>
    <t xml:space="preserve">Tasks assigned counts every task that names the member, including tasks owned by All.</t>
  </si>
  <si>
    <t xml:space="preserve">Everyone configures devices and must be able to explain any zone at the final presentation. Ownership means accountability, not exclusive access.</t>
  </si>
</sst>
</file>

<file path=xl/styles.xml><?xml version="1.0" encoding="utf-8"?>
<styleSheet xmlns="http://schemas.openxmlformats.org/spreadsheetml/2006/main">
  <numFmts count="6">
    <numFmt numFmtId="164" formatCode="General"/>
    <numFmt numFmtId="165" formatCode="mmm\ d"/>
    <numFmt numFmtId="166" formatCode="0"/>
    <numFmt numFmtId="167" formatCode="@"/>
    <numFmt numFmtId="168" formatCode="d"/>
    <numFmt numFmtId="169" formatCode="General"/>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FFFFFF"/>
      <name val="Arial"/>
      <family val="0"/>
      <charset val="1"/>
    </font>
    <font>
      <b val="true"/>
      <sz val="8"/>
      <color rgb="FF1B4332"/>
      <name val="Arial"/>
      <family val="0"/>
      <charset val="1"/>
    </font>
    <font>
      <b val="true"/>
      <sz val="10"/>
      <color rgb="FF1F1F1F"/>
      <name val="Arial"/>
      <family val="0"/>
      <charset val="1"/>
    </font>
    <font>
      <b val="true"/>
      <sz val="8"/>
      <color rgb="FFFFFFFF"/>
      <name val="Arial"/>
      <family val="0"/>
      <charset val="1"/>
    </font>
    <font>
      <sz val="7"/>
      <color rgb="FFFFFFFF"/>
      <name val="Arial"/>
      <family val="0"/>
      <charset val="1"/>
    </font>
    <font>
      <b val="true"/>
      <sz val="9"/>
      <color rgb="FFFFFFFF"/>
      <name val="Arial"/>
      <family val="0"/>
      <charset val="1"/>
    </font>
    <font>
      <b val="true"/>
      <sz val="9"/>
      <color rgb="FF1B4332"/>
      <name val="Arial"/>
      <family val="0"/>
      <charset val="1"/>
    </font>
    <font>
      <sz val="9"/>
      <color rgb="FF1F1F1F"/>
      <name val="Arial"/>
      <family val="0"/>
      <charset val="1"/>
    </font>
    <font>
      <b val="true"/>
      <sz val="9"/>
      <color rgb="FFB7791F"/>
      <name val="Arial"/>
      <family val="0"/>
      <charset val="1"/>
    </font>
    <font>
      <i val="true"/>
      <sz val="9"/>
      <color rgb="FF6F6F6F"/>
      <name val="Arial"/>
      <family val="0"/>
      <charset val="1"/>
    </font>
    <font>
      <b val="true"/>
      <sz val="9"/>
      <color rgb="FF9B2226"/>
      <name val="Arial"/>
      <family val="0"/>
      <charset val="1"/>
    </font>
    <font>
      <sz val="9"/>
      <color rgb="FF404040"/>
      <name val="Arial"/>
      <family val="0"/>
      <charset val="1"/>
    </font>
    <font>
      <b val="true"/>
      <sz val="9"/>
      <color rgb="FF1F1F1F"/>
      <name val="Arial"/>
      <family val="0"/>
      <charset val="1"/>
    </font>
    <font>
      <i val="true"/>
      <sz val="9"/>
      <color rgb="FF404040"/>
      <name val="Arial"/>
      <family val="0"/>
      <charset val="1"/>
    </font>
  </fonts>
  <fills count="13">
    <fill>
      <patternFill patternType="none"/>
    </fill>
    <fill>
      <patternFill patternType="gray125"/>
    </fill>
    <fill>
      <patternFill patternType="solid">
        <fgColor rgb="FF1B4332"/>
        <bgColor rgb="FF404040"/>
      </patternFill>
    </fill>
    <fill>
      <patternFill patternType="solid">
        <fgColor rgb="FF2D6A4F"/>
        <bgColor rgb="FF1B4332"/>
      </patternFill>
    </fill>
    <fill>
      <patternFill patternType="solid">
        <fgColor rgb="FFEEF7F0"/>
        <bgColor rgb="FFFFFFFF"/>
      </patternFill>
    </fill>
    <fill>
      <patternFill patternType="solid">
        <fgColor rgb="FFB7E4C7"/>
        <bgColor rgb="FFD0D0D0"/>
      </patternFill>
    </fill>
    <fill>
      <patternFill patternType="solid">
        <fgColor rgb="FFE2E2E2"/>
        <bgColor rgb="FFE8E8E8"/>
      </patternFill>
    </fill>
    <fill>
      <patternFill patternType="solid">
        <fgColor rgb="FF52B788"/>
        <bgColor rgb="FF33CCCC"/>
      </patternFill>
    </fill>
    <fill>
      <patternFill patternType="solid">
        <fgColor rgb="FFB7791F"/>
        <bgColor rgb="FFFF6600"/>
      </patternFill>
    </fill>
    <fill>
      <patternFill patternType="solid">
        <fgColor rgb="FFF3E3C3"/>
        <bgColor rgb="FFFFF1CC"/>
      </patternFill>
    </fill>
    <fill>
      <patternFill patternType="solid">
        <fgColor rgb="FFBFBFBF"/>
        <bgColor rgb="FFD0D0D0"/>
      </patternFill>
    </fill>
    <fill>
      <patternFill patternType="solid">
        <fgColor rgb="FF9B2226"/>
        <bgColor rgb="FF993366"/>
      </patternFill>
    </fill>
    <fill>
      <patternFill patternType="solid">
        <fgColor rgb="FFFFF1CC"/>
        <bgColor rgb="FFF3E3C3"/>
      </patternFill>
    </fill>
  </fills>
  <borders count="3">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hair">
        <color rgb="FFE8E8E8"/>
      </left>
      <right/>
      <top/>
      <bottom style="hair">
        <color rgb="FFE8E8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5" fontId="7" fillId="4" borderId="0" xfId="0" applyFont="true" applyBorder="true" applyAlignment="true" applyProtection="false">
      <alignment horizontal="center" vertical="center" textRotation="0" wrapText="true" indent="0" shrinkToFit="false"/>
      <protection locked="true" hidden="false"/>
    </xf>
    <xf numFmtId="166" fontId="7" fillId="4" borderId="0" xfId="0" applyFont="true" applyBorder="true" applyAlignment="true" applyProtection="false">
      <alignment horizontal="center" vertical="center" textRotation="0" wrapText="true" indent="0" shrinkToFit="false"/>
      <protection locked="true" hidden="false"/>
    </xf>
    <xf numFmtId="167" fontId="7" fillId="4"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8" fontId="9" fillId="2" borderId="0" xfId="0" applyFont="true" applyBorder="false" applyAlignment="true" applyProtection="false">
      <alignment horizontal="center" vertical="center" textRotation="0" wrapText="true" indent="0" shrinkToFit="false"/>
      <protection locked="true" hidden="false"/>
    </xf>
    <xf numFmtId="168" fontId="9" fillId="3" borderId="0" xfId="0" applyFont="true" applyBorder="fals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true" indent="1" shrinkToFit="false"/>
      <protection locked="true" hidden="false"/>
    </xf>
    <xf numFmtId="165" fontId="10"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1"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9" fontId="11" fillId="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1"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1"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1"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1"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center" textRotation="0" wrapText="true" indent="1"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1"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bgColor rgb="FF9B2226"/>
        </patternFill>
      </fill>
    </dxf>
    <dxf>
      <fill>
        <patternFill>
          <bgColor rgb="FFB7791F"/>
        </patternFill>
      </fill>
    </dxf>
    <dxf>
      <fill>
        <patternFill>
          <bgColor rgb="FF1B4332"/>
        </patternFill>
      </fill>
    </dxf>
    <dxf>
      <fill>
        <patternFill>
          <bgColor rgb="FF2D6A4F"/>
        </patternFill>
      </fill>
    </dxf>
    <dxf>
      <fill>
        <patternFill>
          <bgColor rgb="FFE2E2E2"/>
        </patternFill>
      </fill>
    </dxf>
    <dxf>
      <fill>
        <patternFill>
          <bgColor rgb="FFF3E3C3"/>
        </patternFill>
      </fill>
    </dxf>
    <dxf>
      <fill>
        <patternFill>
          <bgColor rgb="FFBFBFBF"/>
        </patternFill>
      </fill>
    </dxf>
    <dxf>
      <fill>
        <patternFill>
          <bgColor rgb="FF52B788"/>
        </patternFill>
      </fill>
    </dxf>
    <dxf>
      <fill>
        <patternFill>
          <bgColor rgb="FFB7E4C7"/>
        </patternFill>
      </fill>
    </dxf>
    <dxf>
      <fill>
        <patternFill>
          <bgColor rgb="FFFFF1CC"/>
        </patternFill>
      </fill>
    </dxf>
    <dxf>
      <fill>
        <patternFill>
          <bgColor rgb="FFFFE8A3"/>
        </patternFill>
      </fill>
    </dxf>
    <dxf>
      <fill>
        <patternFill>
          <bgColor rgb="FFF8C9A0"/>
        </patternFill>
      </fill>
    </dxf>
    <dxf>
      <fill>
        <patternFill>
          <bgColor rgb="FFF4B6B6"/>
        </patternFill>
      </fill>
    </dxf>
    <dxf>
      <font>
        <name val="Arial"/>
        <charset val="1"/>
        <family val="0"/>
        <b val="1"/>
        <color rgb="FF9B2226"/>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2D6A4F"/>
      <rgbColor rgb="FFBFBFBF"/>
      <rgbColor rgb="FF808080"/>
      <rgbColor rgb="FF9999FF"/>
      <rgbColor rgb="FF993366"/>
      <rgbColor rgb="FFFFF1CC"/>
      <rgbColor rgb="FFEEF7F0"/>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8E8E8"/>
      <rgbColor rgb="FFB7E4C7"/>
      <rgbColor rgb="FFFFE8A3"/>
      <rgbColor rgb="FFE2E2E2"/>
      <rgbColor rgb="FFF4B6B6"/>
      <rgbColor rgb="FFF3E3C3"/>
      <rgbColor rgb="FFF8C9A0"/>
      <rgbColor rgb="FF3366FF"/>
      <rgbColor rgb="FF33CCCC"/>
      <rgbColor rgb="FF99CC00"/>
      <rgbColor rgb="FFFFCC00"/>
      <rgbColor rgb="FFFF9900"/>
      <rgbColor rgb="FFFF6600"/>
      <rgbColor rgb="FF6F6F6F"/>
      <rgbColor rgb="FF969696"/>
      <rgbColor rgb="FF003366"/>
      <rgbColor rgb="FF52B788"/>
      <rgbColor rgb="FF1B4332"/>
      <rgbColor rgb="FF1F1F1F"/>
      <rgbColor rgb="FF9B2226"/>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B9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15"/>
    <col collapsed="false" customWidth="true" hidden="false" outlineLevel="0" max="5" min="4" style="0" width="8"/>
    <col collapsed="false" customWidth="true" hidden="false" outlineLevel="0" max="6" min="6" style="0" width="5"/>
    <col collapsed="false" customWidth="true" hidden="false" outlineLevel="0" max="8" min="7" style="0" width="10"/>
    <col collapsed="false" customWidth="true" hidden="false" outlineLevel="0" max="11" min="9" style="0" width="8"/>
    <col collapsed="false" customWidth="true" hidden="false" outlineLevel="0" max="12" min="12" style="0" width="6"/>
    <col collapsed="false" customWidth="true" hidden="false" outlineLevel="0" max="80" min="13" style="0" width="2.3"/>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row>
    <row r="2" customFormat="false" ht="1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row>
    <row r="3" customFormat="false" ht="24" hidden="false" customHeight="true" outlineLevel="0" collapsed="false">
      <c r="A3" s="3" t="s">
        <v>2</v>
      </c>
      <c r="B3" s="3"/>
      <c r="C3" s="3" t="s">
        <v>3</v>
      </c>
      <c r="D3" s="3"/>
      <c r="E3" s="3" t="s">
        <v>4</v>
      </c>
      <c r="F3" s="3"/>
      <c r="G3" s="3" t="s">
        <v>5</v>
      </c>
      <c r="H3" s="3"/>
      <c r="I3" s="3" t="s">
        <v>6</v>
      </c>
      <c r="J3" s="3"/>
      <c r="K3" s="3" t="s">
        <v>7</v>
      </c>
      <c r="L3" s="3"/>
      <c r="M3" s="3" t="s">
        <v>8</v>
      </c>
      <c r="N3" s="3"/>
      <c r="O3" s="3"/>
      <c r="P3" s="3"/>
      <c r="Q3" s="3"/>
      <c r="R3" s="3"/>
      <c r="S3" s="3"/>
      <c r="T3" s="3"/>
      <c r="U3" s="3"/>
    </row>
    <row r="4" customFormat="false" ht="19.5" hidden="false" customHeight="true" outlineLevel="0" collapsed="false">
      <c r="A4" s="4" t="n">
        <f aca="false">MIN(D7:D73)</f>
        <v>46294</v>
      </c>
      <c r="B4" s="4"/>
      <c r="C4" s="4" t="n">
        <f aca="false">MAX(K7:K73)</f>
        <v>46347</v>
      </c>
      <c r="D4" s="4"/>
      <c r="E4" s="4" t="n">
        <f aca="false">E70</f>
        <v>46357</v>
      </c>
      <c r="F4" s="4"/>
      <c r="G4" s="4" t="n">
        <f aca="false">D72</f>
        <v>46361</v>
      </c>
      <c r="H4" s="4"/>
      <c r="I4" s="5" t="n">
        <f aca="false">E70-MIN(D7:D73)+1</f>
        <v>64</v>
      </c>
      <c r="J4" s="5"/>
      <c r="K4" s="5" t="n">
        <f aca="false">D72-E70-1</f>
        <v>3</v>
      </c>
      <c r="L4" s="5"/>
      <c r="M4" s="6" t="str">
        <f aca="false">COUNTIFS(I7:I73,"Task",H7:H73,"Complete")&amp;" of "&amp;COUNTIF(I7:I73,"Task")</f>
        <v>10 of 40</v>
      </c>
      <c r="N4" s="6"/>
      <c r="O4" s="6"/>
      <c r="P4" s="6"/>
      <c r="Q4" s="6"/>
      <c r="R4" s="6"/>
      <c r="S4" s="6"/>
      <c r="T4" s="6"/>
      <c r="U4" s="6"/>
    </row>
    <row r="5" customFormat="false" ht="15" hidden="false" customHeight="false" outlineLevel="0" collapsed="false">
      <c r="M5" s="7" t="s">
        <v>9</v>
      </c>
      <c r="O5" s="7" t="s">
        <v>10</v>
      </c>
      <c r="AT5" s="7" t="s">
        <v>11</v>
      </c>
      <c r="BX5" s="7" t="s">
        <v>12</v>
      </c>
    </row>
    <row r="6" customFormat="false" ht="25.5" hidden="false" customHeight="true" outlineLevel="0" collapsed="false">
      <c r="A6" s="8" t="s">
        <v>13</v>
      </c>
      <c r="B6" s="8" t="s">
        <v>14</v>
      </c>
      <c r="C6" s="8" t="s">
        <v>15</v>
      </c>
      <c r="D6" s="8" t="s">
        <v>2</v>
      </c>
      <c r="E6" s="8" t="s">
        <v>16</v>
      </c>
      <c r="F6" s="8" t="s">
        <v>17</v>
      </c>
      <c r="G6" s="8" t="s">
        <v>18</v>
      </c>
      <c r="H6" s="8" t="s">
        <v>19</v>
      </c>
      <c r="I6" s="8" t="s">
        <v>20</v>
      </c>
      <c r="J6" s="8" t="s">
        <v>21</v>
      </c>
      <c r="K6" s="8" t="s">
        <v>22</v>
      </c>
      <c r="L6" s="8" t="s">
        <v>23</v>
      </c>
      <c r="M6" s="9" t="n">
        <v>46294</v>
      </c>
      <c r="N6" s="9" t="n">
        <v>46295</v>
      </c>
      <c r="O6" s="9" t="n">
        <v>46296</v>
      </c>
      <c r="P6" s="9" t="n">
        <v>46297</v>
      </c>
      <c r="Q6" s="10" t="n">
        <v>46298</v>
      </c>
      <c r="R6" s="10" t="n">
        <v>46299</v>
      </c>
      <c r="S6" s="9" t="n">
        <v>46300</v>
      </c>
      <c r="T6" s="9" t="n">
        <v>46301</v>
      </c>
      <c r="U6" s="9" t="n">
        <v>46302</v>
      </c>
      <c r="V6" s="9" t="n">
        <v>46303</v>
      </c>
      <c r="W6" s="9" t="n">
        <v>46304</v>
      </c>
      <c r="X6" s="10" t="n">
        <v>46305</v>
      </c>
      <c r="Y6" s="10" t="n">
        <v>46306</v>
      </c>
      <c r="Z6" s="9" t="n">
        <v>46307</v>
      </c>
      <c r="AA6" s="9" t="n">
        <v>46308</v>
      </c>
      <c r="AB6" s="9" t="n">
        <v>46309</v>
      </c>
      <c r="AC6" s="9" t="n">
        <v>46310</v>
      </c>
      <c r="AD6" s="9" t="n">
        <v>46311</v>
      </c>
      <c r="AE6" s="10" t="n">
        <v>46312</v>
      </c>
      <c r="AF6" s="10" t="n">
        <v>46313</v>
      </c>
      <c r="AG6" s="9" t="n">
        <v>46314</v>
      </c>
      <c r="AH6" s="9" t="n">
        <v>46315</v>
      </c>
      <c r="AI6" s="9" t="n">
        <v>46316</v>
      </c>
      <c r="AJ6" s="9" t="n">
        <v>46317</v>
      </c>
      <c r="AK6" s="9" t="n">
        <v>46318</v>
      </c>
      <c r="AL6" s="10" t="n">
        <v>46319</v>
      </c>
      <c r="AM6" s="10" t="n">
        <v>46320</v>
      </c>
      <c r="AN6" s="9" t="n">
        <v>46321</v>
      </c>
      <c r="AO6" s="9" t="n">
        <v>46322</v>
      </c>
      <c r="AP6" s="9" t="n">
        <v>46323</v>
      </c>
      <c r="AQ6" s="9" t="n">
        <v>46324</v>
      </c>
      <c r="AR6" s="9" t="n">
        <v>46325</v>
      </c>
      <c r="AS6" s="10" t="n">
        <v>46326</v>
      </c>
      <c r="AT6" s="10" t="n">
        <v>46327</v>
      </c>
      <c r="AU6" s="9" t="n">
        <v>46328</v>
      </c>
      <c r="AV6" s="9" t="n">
        <v>46329</v>
      </c>
      <c r="AW6" s="9" t="n">
        <v>46330</v>
      </c>
      <c r="AX6" s="9" t="n">
        <v>46331</v>
      </c>
      <c r="AY6" s="9" t="n">
        <v>46332</v>
      </c>
      <c r="AZ6" s="10" t="n">
        <v>46333</v>
      </c>
      <c r="BA6" s="10" t="n">
        <v>46334</v>
      </c>
      <c r="BB6" s="9" t="n">
        <v>46335</v>
      </c>
      <c r="BC6" s="9" t="n">
        <v>46336</v>
      </c>
      <c r="BD6" s="9" t="n">
        <v>46337</v>
      </c>
      <c r="BE6" s="9" t="n">
        <v>46338</v>
      </c>
      <c r="BF6" s="9" t="n">
        <v>46339</v>
      </c>
      <c r="BG6" s="10" t="n">
        <v>46340</v>
      </c>
      <c r="BH6" s="10" t="n">
        <v>46341</v>
      </c>
      <c r="BI6" s="9" t="n">
        <v>46342</v>
      </c>
      <c r="BJ6" s="9" t="n">
        <v>46343</v>
      </c>
      <c r="BK6" s="9" t="n">
        <v>46344</v>
      </c>
      <c r="BL6" s="9" t="n">
        <v>46345</v>
      </c>
      <c r="BM6" s="9" t="n">
        <v>46346</v>
      </c>
      <c r="BN6" s="10" t="n">
        <v>46347</v>
      </c>
      <c r="BO6" s="10" t="n">
        <v>46348</v>
      </c>
      <c r="BP6" s="9" t="n">
        <v>46349</v>
      </c>
      <c r="BQ6" s="9" t="n">
        <v>46350</v>
      </c>
      <c r="BR6" s="9" t="n">
        <v>46351</v>
      </c>
      <c r="BS6" s="9" t="n">
        <v>46352</v>
      </c>
      <c r="BT6" s="9" t="n">
        <v>46353</v>
      </c>
      <c r="BU6" s="10" t="n">
        <v>46354</v>
      </c>
      <c r="BV6" s="10" t="n">
        <v>46355</v>
      </c>
      <c r="BW6" s="9" t="n">
        <v>46356</v>
      </c>
      <c r="BX6" s="9" t="n">
        <v>46357</v>
      </c>
      <c r="BY6" s="9" t="n">
        <v>46358</v>
      </c>
      <c r="BZ6" s="9" t="n">
        <v>46359</v>
      </c>
      <c r="CA6" s="9" t="n">
        <v>46360</v>
      </c>
      <c r="CB6" s="10" t="n">
        <v>46361</v>
      </c>
    </row>
    <row r="7" customFormat="false" ht="16.5" hidden="false" customHeight="true" outlineLevel="0" collapsed="false">
      <c r="A7" s="11" t="s">
        <v>24</v>
      </c>
      <c r="B7" s="12" t="s">
        <v>25</v>
      </c>
      <c r="C7" s="11" t="s">
        <v>26</v>
      </c>
      <c r="D7" s="13" t="n">
        <v>46294</v>
      </c>
      <c r="E7" s="13" t="n">
        <v>46305</v>
      </c>
      <c r="F7" s="11" t="n">
        <f aca="false">E7-D7+1</f>
        <v>12</v>
      </c>
      <c r="G7" s="11"/>
      <c r="H7" s="11" t="s">
        <v>27</v>
      </c>
      <c r="I7" s="11" t="s">
        <v>28</v>
      </c>
      <c r="J7" s="13"/>
      <c r="K7" s="13"/>
      <c r="L7" s="11" t="str">
        <f aca="false">IF(K7="","",E7-K7)</f>
        <v/>
      </c>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row>
    <row r="8" customFormat="false" ht="16.5" hidden="false" customHeight="true" outlineLevel="0" collapsed="false">
      <c r="A8" s="15" t="s">
        <v>29</v>
      </c>
      <c r="B8" s="16" t="s">
        <v>30</v>
      </c>
      <c r="C8" s="15" t="s">
        <v>26</v>
      </c>
      <c r="D8" s="17" t="n">
        <v>46294</v>
      </c>
      <c r="E8" s="17" t="n">
        <v>46298</v>
      </c>
      <c r="F8" s="15" t="n">
        <f aca="false">E8-D8+1</f>
        <v>5</v>
      </c>
      <c r="G8" s="15"/>
      <c r="H8" s="15" t="s">
        <v>27</v>
      </c>
      <c r="I8" s="15" t="s">
        <v>31</v>
      </c>
      <c r="J8" s="17" t="n">
        <v>46294</v>
      </c>
      <c r="K8" s="17" t="n">
        <v>46298</v>
      </c>
      <c r="L8" s="18" t="n">
        <f aca="false">IF(K8="","",E8-K8)</f>
        <v>0</v>
      </c>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row>
    <row r="9" customFormat="false" ht="25.5" hidden="false" customHeight="true" outlineLevel="0" collapsed="false">
      <c r="A9" s="19" t="s">
        <v>32</v>
      </c>
      <c r="B9" s="20" t="s">
        <v>33</v>
      </c>
      <c r="C9" s="19" t="s">
        <v>34</v>
      </c>
      <c r="D9" s="21" t="n">
        <v>46294</v>
      </c>
      <c r="E9" s="21" t="n">
        <v>46295</v>
      </c>
      <c r="F9" s="19" t="n">
        <f aca="false">E9-D9+1</f>
        <v>2</v>
      </c>
      <c r="G9" s="19"/>
      <c r="H9" s="19" t="s">
        <v>27</v>
      </c>
      <c r="I9" s="19" t="s">
        <v>35</v>
      </c>
      <c r="J9" s="21"/>
      <c r="K9" s="21"/>
      <c r="L9" s="19" t="str">
        <f aca="false">IF(K9="","",E9-K9)</f>
        <v/>
      </c>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row>
    <row r="10" customFormat="false" ht="25.5" hidden="false" customHeight="true" outlineLevel="0" collapsed="false">
      <c r="A10" s="19" t="s">
        <v>36</v>
      </c>
      <c r="B10" s="20" t="s">
        <v>37</v>
      </c>
      <c r="C10" s="19" t="s">
        <v>26</v>
      </c>
      <c r="D10" s="21" t="n">
        <v>46294</v>
      </c>
      <c r="E10" s="21" t="n">
        <v>46298</v>
      </c>
      <c r="F10" s="19" t="n">
        <f aca="false">E10-D10+1</f>
        <v>5</v>
      </c>
      <c r="G10" s="19"/>
      <c r="H10" s="19" t="s">
        <v>27</v>
      </c>
      <c r="I10" s="19" t="s">
        <v>35</v>
      </c>
      <c r="J10" s="21"/>
      <c r="K10" s="21"/>
      <c r="L10" s="19" t="str">
        <f aca="false">IF(K10="","",E10-K10)</f>
        <v/>
      </c>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row>
    <row r="11" customFormat="false" ht="36" hidden="false" customHeight="true" outlineLevel="0" collapsed="false">
      <c r="A11" s="19" t="s">
        <v>38</v>
      </c>
      <c r="B11" s="20" t="s">
        <v>39</v>
      </c>
      <c r="C11" s="19" t="s">
        <v>40</v>
      </c>
      <c r="D11" s="21" t="n">
        <v>46295</v>
      </c>
      <c r="E11" s="21" t="n">
        <v>46297</v>
      </c>
      <c r="F11" s="19" t="n">
        <f aca="false">E11-D11+1</f>
        <v>3</v>
      </c>
      <c r="G11" s="19" t="s">
        <v>32</v>
      </c>
      <c r="H11" s="19" t="s">
        <v>27</v>
      </c>
      <c r="I11" s="19" t="s">
        <v>35</v>
      </c>
      <c r="J11" s="21"/>
      <c r="K11" s="21"/>
      <c r="L11" s="19" t="str">
        <f aca="false">IF(K11="","",E11-K11)</f>
        <v/>
      </c>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row>
    <row r="12" customFormat="false" ht="25.5" hidden="false" customHeight="true" outlineLevel="0" collapsed="false">
      <c r="A12" s="19" t="s">
        <v>41</v>
      </c>
      <c r="B12" s="20" t="s">
        <v>42</v>
      </c>
      <c r="C12" s="19" t="s">
        <v>43</v>
      </c>
      <c r="D12" s="21" t="n">
        <v>46296</v>
      </c>
      <c r="E12" s="21" t="n">
        <v>46297</v>
      </c>
      <c r="F12" s="19" t="n">
        <f aca="false">E12-D12+1</f>
        <v>2</v>
      </c>
      <c r="G12" s="19" t="s">
        <v>38</v>
      </c>
      <c r="H12" s="19" t="s">
        <v>27</v>
      </c>
      <c r="I12" s="19" t="s">
        <v>35</v>
      </c>
      <c r="J12" s="21"/>
      <c r="K12" s="21"/>
      <c r="L12" s="19" t="str">
        <f aca="false">IF(K12="","",E12-K12)</f>
        <v/>
      </c>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row>
    <row r="13" customFormat="false" ht="25.5" hidden="false" customHeight="true" outlineLevel="0" collapsed="false">
      <c r="A13" s="19" t="s">
        <v>44</v>
      </c>
      <c r="B13" s="20" t="s">
        <v>45</v>
      </c>
      <c r="C13" s="19" t="s">
        <v>34</v>
      </c>
      <c r="D13" s="21" t="n">
        <v>46295</v>
      </c>
      <c r="E13" s="21" t="n">
        <v>46298</v>
      </c>
      <c r="F13" s="19" t="n">
        <f aca="false">E13-D13+1</f>
        <v>4</v>
      </c>
      <c r="G13" s="19"/>
      <c r="H13" s="19" t="s">
        <v>27</v>
      </c>
      <c r="I13" s="19" t="s">
        <v>35</v>
      </c>
      <c r="J13" s="21"/>
      <c r="K13" s="21"/>
      <c r="L13" s="19" t="str">
        <f aca="false">IF(K13="","",E13-K13)</f>
        <v/>
      </c>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row>
    <row r="14" customFormat="false" ht="25.5" hidden="false" customHeight="true" outlineLevel="0" collapsed="false">
      <c r="A14" s="19" t="s">
        <v>46</v>
      </c>
      <c r="B14" s="20" t="s">
        <v>47</v>
      </c>
      <c r="C14" s="19" t="s">
        <v>34</v>
      </c>
      <c r="D14" s="21" t="n">
        <v>46296</v>
      </c>
      <c r="E14" s="21" t="n">
        <v>46298</v>
      </c>
      <c r="F14" s="19" t="n">
        <f aca="false">E14-D14+1</f>
        <v>3</v>
      </c>
      <c r="G14" s="19"/>
      <c r="H14" s="19" t="s">
        <v>27</v>
      </c>
      <c r="I14" s="19" t="s">
        <v>35</v>
      </c>
      <c r="J14" s="21"/>
      <c r="K14" s="21"/>
      <c r="L14" s="19" t="str">
        <f aca="false">IF(K14="","",E14-K14)</f>
        <v/>
      </c>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row>
    <row r="15" customFormat="false" ht="25.5" hidden="false" customHeight="true" outlineLevel="0" collapsed="false">
      <c r="A15" s="22" t="s">
        <v>48</v>
      </c>
      <c r="B15" s="23" t="s">
        <v>49</v>
      </c>
      <c r="C15" s="22" t="s">
        <v>34</v>
      </c>
      <c r="D15" s="24" t="n">
        <v>46298</v>
      </c>
      <c r="E15" s="24" t="n">
        <v>46298</v>
      </c>
      <c r="F15" s="22" t="n">
        <f aca="false">E15-D15+1</f>
        <v>1</v>
      </c>
      <c r="G15" s="22" t="s">
        <v>50</v>
      </c>
      <c r="H15" s="22" t="s">
        <v>27</v>
      </c>
      <c r="I15" s="22" t="s">
        <v>51</v>
      </c>
      <c r="J15" s="24"/>
      <c r="K15" s="24"/>
      <c r="L15" s="22" t="str">
        <f aca="false">IF(K15="","",E15-K15)</f>
        <v/>
      </c>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row>
    <row r="16" customFormat="false" ht="25.5" hidden="false" customHeight="true" outlineLevel="0" collapsed="false">
      <c r="A16" s="15" t="s">
        <v>52</v>
      </c>
      <c r="B16" s="16" t="s">
        <v>53</v>
      </c>
      <c r="C16" s="15" t="s">
        <v>54</v>
      </c>
      <c r="D16" s="17" t="n">
        <v>46301</v>
      </c>
      <c r="E16" s="17" t="n">
        <v>46312</v>
      </c>
      <c r="F16" s="15" t="n">
        <f aca="false">E16-D16+1</f>
        <v>12</v>
      </c>
      <c r="G16" s="15" t="s">
        <v>48</v>
      </c>
      <c r="H16" s="15" t="s">
        <v>55</v>
      </c>
      <c r="I16" s="15" t="s">
        <v>31</v>
      </c>
      <c r="J16" s="17" t="n">
        <v>46301</v>
      </c>
      <c r="K16" s="17" t="n">
        <v>46305</v>
      </c>
      <c r="L16" s="18" t="n">
        <f aca="false">IF(K16="","",E16-K16)</f>
        <v>7</v>
      </c>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row>
    <row r="17" customFormat="false" ht="36" hidden="false" customHeight="true" outlineLevel="0" collapsed="false">
      <c r="A17" s="19" t="s">
        <v>56</v>
      </c>
      <c r="B17" s="20" t="s">
        <v>57</v>
      </c>
      <c r="C17" s="19" t="s">
        <v>58</v>
      </c>
      <c r="D17" s="21" t="n">
        <v>46301</v>
      </c>
      <c r="E17" s="21" t="n">
        <v>46308</v>
      </c>
      <c r="F17" s="19" t="n">
        <f aca="false">E17-D17+1</f>
        <v>8</v>
      </c>
      <c r="G17" s="19" t="s">
        <v>48</v>
      </c>
      <c r="H17" s="19" t="s">
        <v>27</v>
      </c>
      <c r="I17" s="19" t="s">
        <v>35</v>
      </c>
      <c r="J17" s="21"/>
      <c r="K17" s="21"/>
      <c r="L17" s="19" t="str">
        <f aca="false">IF(K17="","",E17-K17)</f>
        <v/>
      </c>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row>
    <row r="18" customFormat="false" ht="16.5" hidden="false" customHeight="true" outlineLevel="0" collapsed="false">
      <c r="A18" s="19" t="s">
        <v>59</v>
      </c>
      <c r="B18" s="20" t="s">
        <v>60</v>
      </c>
      <c r="C18" s="19" t="s">
        <v>54</v>
      </c>
      <c r="D18" s="21" t="n">
        <v>46302</v>
      </c>
      <c r="E18" s="21" t="n">
        <v>46308</v>
      </c>
      <c r="F18" s="19" t="n">
        <f aca="false">E18-D18+1</f>
        <v>7</v>
      </c>
      <c r="G18" s="19" t="s">
        <v>56</v>
      </c>
      <c r="H18" s="19" t="s">
        <v>27</v>
      </c>
      <c r="I18" s="19" t="s">
        <v>35</v>
      </c>
      <c r="J18" s="21"/>
      <c r="K18" s="21"/>
      <c r="L18" s="19" t="str">
        <f aca="false">IF(K18="","",E18-K18)</f>
        <v/>
      </c>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row>
    <row r="19" customFormat="false" ht="36" hidden="false" customHeight="true" outlineLevel="0" collapsed="false">
      <c r="A19" s="19" t="s">
        <v>61</v>
      </c>
      <c r="B19" s="20" t="s">
        <v>62</v>
      </c>
      <c r="C19" s="19" t="s">
        <v>63</v>
      </c>
      <c r="D19" s="21" t="n">
        <v>46303</v>
      </c>
      <c r="E19" s="21" t="n">
        <v>46308</v>
      </c>
      <c r="F19" s="19" t="n">
        <f aca="false">E19-D19+1</f>
        <v>6</v>
      </c>
      <c r="G19" s="19" t="s">
        <v>56</v>
      </c>
      <c r="H19" s="19" t="s">
        <v>27</v>
      </c>
      <c r="I19" s="19" t="s">
        <v>35</v>
      </c>
      <c r="J19" s="21"/>
      <c r="K19" s="21"/>
      <c r="L19" s="19" t="str">
        <f aca="false">IF(K19="","",E19-K19)</f>
        <v/>
      </c>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row>
    <row r="20" customFormat="false" ht="25.5" hidden="false" customHeight="true" outlineLevel="0" collapsed="false">
      <c r="A20" s="19" t="s">
        <v>64</v>
      </c>
      <c r="B20" s="20" t="s">
        <v>65</v>
      </c>
      <c r="C20" s="19" t="s">
        <v>34</v>
      </c>
      <c r="D20" s="21" t="n">
        <v>46303</v>
      </c>
      <c r="E20" s="21" t="n">
        <v>46308</v>
      </c>
      <c r="F20" s="19" t="n">
        <f aca="false">E20-D20+1</f>
        <v>6</v>
      </c>
      <c r="G20" s="19" t="s">
        <v>59</v>
      </c>
      <c r="H20" s="19" t="s">
        <v>27</v>
      </c>
      <c r="I20" s="19" t="s">
        <v>35</v>
      </c>
      <c r="J20" s="21"/>
      <c r="K20" s="21"/>
      <c r="L20" s="19" t="str">
        <f aca="false">IF(K20="","",E20-K20)</f>
        <v/>
      </c>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row>
    <row r="21" customFormat="false" ht="16.5" hidden="false" customHeight="true" outlineLevel="0" collapsed="false">
      <c r="A21" s="22" t="s">
        <v>66</v>
      </c>
      <c r="B21" s="23" t="s">
        <v>67</v>
      </c>
      <c r="C21" s="22" t="s">
        <v>34</v>
      </c>
      <c r="D21" s="24" t="n">
        <v>46303</v>
      </c>
      <c r="E21" s="24" t="n">
        <v>46303</v>
      </c>
      <c r="F21" s="22" t="n">
        <f aca="false">E21-D21+1</f>
        <v>1</v>
      </c>
      <c r="G21" s="22"/>
      <c r="H21" s="22" t="s">
        <v>27</v>
      </c>
      <c r="I21" s="22" t="s">
        <v>51</v>
      </c>
      <c r="J21" s="24"/>
      <c r="K21" s="24"/>
      <c r="L21" s="22" t="str">
        <f aca="false">IF(K21="","",E21-K21)</f>
        <v/>
      </c>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row>
    <row r="22" customFormat="false" ht="16.5" hidden="false" customHeight="true" outlineLevel="0" collapsed="false">
      <c r="A22" s="22" t="s">
        <v>68</v>
      </c>
      <c r="B22" s="23" t="s">
        <v>69</v>
      </c>
      <c r="C22" s="22" t="s">
        <v>34</v>
      </c>
      <c r="D22" s="24" t="n">
        <v>46308</v>
      </c>
      <c r="E22" s="24" t="n">
        <v>46308</v>
      </c>
      <c r="F22" s="22" t="n">
        <f aca="false">E22-D22+1</f>
        <v>1</v>
      </c>
      <c r="G22" s="22" t="s">
        <v>66</v>
      </c>
      <c r="H22" s="22" t="s">
        <v>27</v>
      </c>
      <c r="I22" s="22" t="s">
        <v>51</v>
      </c>
      <c r="J22" s="24"/>
      <c r="K22" s="24"/>
      <c r="L22" s="22" t="str">
        <f aca="false">IF(K22="","",E22-K22)</f>
        <v/>
      </c>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row>
    <row r="23" customFormat="false" ht="25.5" hidden="false" customHeight="true" outlineLevel="0" collapsed="false">
      <c r="A23" s="19" t="s">
        <v>70</v>
      </c>
      <c r="B23" s="20" t="s">
        <v>71</v>
      </c>
      <c r="C23" s="19" t="s">
        <v>34</v>
      </c>
      <c r="D23" s="21" t="n">
        <v>46310</v>
      </c>
      <c r="E23" s="21" t="n">
        <v>46310</v>
      </c>
      <c r="F23" s="19" t="n">
        <f aca="false">E23-D23+1</f>
        <v>1</v>
      </c>
      <c r="G23" s="19" t="s">
        <v>72</v>
      </c>
      <c r="H23" s="19" t="s">
        <v>73</v>
      </c>
      <c r="I23" s="19" t="s">
        <v>35</v>
      </c>
      <c r="J23" s="21"/>
      <c r="K23" s="21"/>
      <c r="L23" s="19" t="str">
        <f aca="false">IF(K23="","",E23-K23)</f>
        <v/>
      </c>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row>
    <row r="24" customFormat="false" ht="36" hidden="false" customHeight="true" outlineLevel="0" collapsed="false">
      <c r="A24" s="22" t="s">
        <v>74</v>
      </c>
      <c r="B24" s="23" t="s">
        <v>75</v>
      </c>
      <c r="C24" s="22" t="s">
        <v>34</v>
      </c>
      <c r="D24" s="24" t="n">
        <v>46312</v>
      </c>
      <c r="E24" s="24" t="n">
        <v>46312</v>
      </c>
      <c r="F24" s="22" t="n">
        <f aca="false">E24-D24+1</f>
        <v>1</v>
      </c>
      <c r="G24" s="22" t="s">
        <v>70</v>
      </c>
      <c r="H24" s="22" t="s">
        <v>76</v>
      </c>
      <c r="I24" s="22" t="s">
        <v>51</v>
      </c>
      <c r="J24" s="24"/>
      <c r="K24" s="24"/>
      <c r="L24" s="22" t="str">
        <f aca="false">IF(K24="","",E24-K24)</f>
        <v/>
      </c>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row>
    <row r="25" customFormat="false" ht="16.5" hidden="false" customHeight="true" outlineLevel="0" collapsed="false">
      <c r="A25" s="11" t="s">
        <v>77</v>
      </c>
      <c r="B25" s="12" t="s">
        <v>78</v>
      </c>
      <c r="C25" s="11" t="s">
        <v>26</v>
      </c>
      <c r="D25" s="13" t="n">
        <v>46308</v>
      </c>
      <c r="E25" s="13" t="n">
        <v>46319</v>
      </c>
      <c r="F25" s="11" t="n">
        <f aca="false">E25-D25+1</f>
        <v>12</v>
      </c>
      <c r="G25" s="11" t="s">
        <v>48</v>
      </c>
      <c r="H25" s="11" t="s">
        <v>55</v>
      </c>
      <c r="I25" s="11" t="s">
        <v>28</v>
      </c>
      <c r="J25" s="13"/>
      <c r="K25" s="13"/>
      <c r="L25" s="11" t="str">
        <f aca="false">IF(K25="","",E25-K25)</f>
        <v/>
      </c>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row>
    <row r="26" customFormat="false" ht="25.5" hidden="false" customHeight="true" outlineLevel="0" collapsed="false">
      <c r="A26" s="15" t="s">
        <v>79</v>
      </c>
      <c r="B26" s="16" t="s">
        <v>80</v>
      </c>
      <c r="C26" s="15" t="s">
        <v>26</v>
      </c>
      <c r="D26" s="17" t="n">
        <v>46308</v>
      </c>
      <c r="E26" s="17" t="n">
        <v>46319</v>
      </c>
      <c r="F26" s="15" t="n">
        <f aca="false">E26-D26+1</f>
        <v>12</v>
      </c>
      <c r="G26" s="15" t="s">
        <v>64</v>
      </c>
      <c r="H26" s="15" t="s">
        <v>55</v>
      </c>
      <c r="I26" s="15" t="s">
        <v>31</v>
      </c>
      <c r="J26" s="17" t="n">
        <v>46308</v>
      </c>
      <c r="K26" s="17" t="n">
        <v>46312</v>
      </c>
      <c r="L26" s="18" t="n">
        <f aca="false">IF(K26="","",E26-K26)</f>
        <v>7</v>
      </c>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row>
    <row r="27" customFormat="false" ht="36" hidden="false" customHeight="true" outlineLevel="0" collapsed="false">
      <c r="A27" s="19" t="s">
        <v>81</v>
      </c>
      <c r="B27" s="20" t="s">
        <v>82</v>
      </c>
      <c r="C27" s="19" t="s">
        <v>26</v>
      </c>
      <c r="D27" s="21" t="n">
        <v>46308</v>
      </c>
      <c r="E27" s="21" t="n">
        <v>46312</v>
      </c>
      <c r="F27" s="19" t="n">
        <f aca="false">E27-D27+1</f>
        <v>5</v>
      </c>
      <c r="G27" s="19" t="s">
        <v>64</v>
      </c>
      <c r="H27" s="19" t="s">
        <v>55</v>
      </c>
      <c r="I27" s="19" t="s">
        <v>35</v>
      </c>
      <c r="J27" s="21"/>
      <c r="K27" s="21"/>
      <c r="L27" s="19" t="str">
        <f aca="false">IF(K27="","",E27-K27)</f>
        <v/>
      </c>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row>
    <row r="28" customFormat="false" ht="25.5" hidden="false" customHeight="true" outlineLevel="0" collapsed="false">
      <c r="A28" s="19" t="s">
        <v>83</v>
      </c>
      <c r="B28" s="20" t="s">
        <v>84</v>
      </c>
      <c r="C28" s="19" t="s">
        <v>34</v>
      </c>
      <c r="D28" s="21" t="n">
        <v>46315</v>
      </c>
      <c r="E28" s="21" t="n">
        <v>46317</v>
      </c>
      <c r="F28" s="19" t="n">
        <f aca="false">E28-D28+1</f>
        <v>3</v>
      </c>
      <c r="G28" s="19" t="s">
        <v>85</v>
      </c>
      <c r="H28" s="19" t="s">
        <v>73</v>
      </c>
      <c r="I28" s="19" t="s">
        <v>35</v>
      </c>
      <c r="J28" s="21"/>
      <c r="K28" s="21"/>
      <c r="L28" s="19" t="str">
        <f aca="false">IF(K28="","",E28-K28)</f>
        <v/>
      </c>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row>
    <row r="29" customFormat="false" ht="25.5" hidden="false" customHeight="true" outlineLevel="0" collapsed="false">
      <c r="A29" s="19" t="s">
        <v>86</v>
      </c>
      <c r="B29" s="20" t="s">
        <v>87</v>
      </c>
      <c r="C29" s="19" t="s">
        <v>88</v>
      </c>
      <c r="D29" s="21" t="n">
        <v>46315</v>
      </c>
      <c r="E29" s="21" t="n">
        <v>46318</v>
      </c>
      <c r="F29" s="19" t="n">
        <f aca="false">E29-D29+1</f>
        <v>4</v>
      </c>
      <c r="G29" s="19" t="s">
        <v>85</v>
      </c>
      <c r="H29" s="19" t="s">
        <v>73</v>
      </c>
      <c r="I29" s="19" t="s">
        <v>35</v>
      </c>
      <c r="J29" s="21"/>
      <c r="K29" s="21"/>
      <c r="L29" s="19" t="str">
        <f aca="false">IF(K29="","",E29-K29)</f>
        <v/>
      </c>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row>
    <row r="30" customFormat="false" ht="25.5" hidden="false" customHeight="true" outlineLevel="0" collapsed="false">
      <c r="A30" s="19" t="s">
        <v>89</v>
      </c>
      <c r="B30" s="20" t="s">
        <v>90</v>
      </c>
      <c r="C30" s="19" t="s">
        <v>91</v>
      </c>
      <c r="D30" s="21" t="n">
        <v>46317</v>
      </c>
      <c r="E30" s="21" t="n">
        <v>46318</v>
      </c>
      <c r="F30" s="19" t="n">
        <f aca="false">E30-D30+1</f>
        <v>2</v>
      </c>
      <c r="G30" s="19" t="s">
        <v>92</v>
      </c>
      <c r="H30" s="19" t="s">
        <v>73</v>
      </c>
      <c r="I30" s="19" t="s">
        <v>35</v>
      </c>
      <c r="J30" s="21"/>
      <c r="K30" s="21"/>
      <c r="L30" s="19" t="str">
        <f aca="false">IF(K30="","",E30-K30)</f>
        <v/>
      </c>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row>
    <row r="31" customFormat="false" ht="25.5" hidden="false" customHeight="true" outlineLevel="0" collapsed="false">
      <c r="A31" s="19" t="s">
        <v>93</v>
      </c>
      <c r="B31" s="20" t="s">
        <v>94</v>
      </c>
      <c r="C31" s="19" t="s">
        <v>58</v>
      </c>
      <c r="D31" s="21" t="n">
        <v>46318</v>
      </c>
      <c r="E31" s="21" t="n">
        <v>46318</v>
      </c>
      <c r="F31" s="19" t="n">
        <f aca="false">E31-D31+1</f>
        <v>1</v>
      </c>
      <c r="G31" s="19" t="s">
        <v>83</v>
      </c>
      <c r="H31" s="19" t="s">
        <v>73</v>
      </c>
      <c r="I31" s="19" t="s">
        <v>35</v>
      </c>
      <c r="J31" s="21"/>
      <c r="K31" s="21"/>
      <c r="L31" s="19" t="str">
        <f aca="false">IF(K31="","",E31-K31)</f>
        <v/>
      </c>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row>
    <row r="32" customFormat="false" ht="25.5" hidden="false" customHeight="true" outlineLevel="0" collapsed="false">
      <c r="A32" s="19" t="s">
        <v>95</v>
      </c>
      <c r="B32" s="20" t="s">
        <v>96</v>
      </c>
      <c r="C32" s="19" t="s">
        <v>40</v>
      </c>
      <c r="D32" s="21" t="n">
        <v>46318</v>
      </c>
      <c r="E32" s="21" t="n">
        <v>46319</v>
      </c>
      <c r="F32" s="19" t="n">
        <f aca="false">E32-D32+1</f>
        <v>2</v>
      </c>
      <c r="G32" s="19" t="s">
        <v>89</v>
      </c>
      <c r="H32" s="19" t="s">
        <v>73</v>
      </c>
      <c r="I32" s="19" t="s">
        <v>35</v>
      </c>
      <c r="J32" s="21"/>
      <c r="K32" s="21"/>
      <c r="L32" s="19" t="str">
        <f aca="false">IF(K32="","",E32-K32)</f>
        <v/>
      </c>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row>
    <row r="33" customFormat="false" ht="25.5" hidden="false" customHeight="true" outlineLevel="0" collapsed="false">
      <c r="A33" s="22" t="s">
        <v>97</v>
      </c>
      <c r="B33" s="23" t="s">
        <v>98</v>
      </c>
      <c r="C33" s="22" t="s">
        <v>34</v>
      </c>
      <c r="D33" s="24" t="n">
        <v>46319</v>
      </c>
      <c r="E33" s="24" t="n">
        <v>46319</v>
      </c>
      <c r="F33" s="22" t="n">
        <f aca="false">E33-D33+1</f>
        <v>1</v>
      </c>
      <c r="G33" s="22" t="s">
        <v>99</v>
      </c>
      <c r="H33" s="22" t="s">
        <v>73</v>
      </c>
      <c r="I33" s="22" t="s">
        <v>51</v>
      </c>
      <c r="J33" s="24"/>
      <c r="K33" s="24"/>
      <c r="L33" s="22" t="str">
        <f aca="false">IF(K33="","",E33-K33)</f>
        <v/>
      </c>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row>
    <row r="34" customFormat="false" ht="16.5" hidden="false" customHeight="true" outlineLevel="0" collapsed="false">
      <c r="A34" s="11" t="s">
        <v>100</v>
      </c>
      <c r="B34" s="12" t="s">
        <v>101</v>
      </c>
      <c r="C34" s="11" t="s">
        <v>26</v>
      </c>
      <c r="D34" s="13" t="n">
        <v>46322</v>
      </c>
      <c r="E34" s="13" t="n">
        <v>46333</v>
      </c>
      <c r="F34" s="11" t="n">
        <f aca="false">E34-D34+1</f>
        <v>12</v>
      </c>
      <c r="G34" s="11" t="s">
        <v>97</v>
      </c>
      <c r="H34" s="11" t="s">
        <v>73</v>
      </c>
      <c r="I34" s="11" t="s">
        <v>28</v>
      </c>
      <c r="J34" s="13"/>
      <c r="K34" s="13"/>
      <c r="L34" s="11" t="str">
        <f aca="false">IF(K34="","",E34-K34)</f>
        <v/>
      </c>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row>
    <row r="35" customFormat="false" ht="16.5" hidden="false" customHeight="true" outlineLevel="0" collapsed="false">
      <c r="A35" s="15" t="s">
        <v>102</v>
      </c>
      <c r="B35" s="16" t="s">
        <v>103</v>
      </c>
      <c r="C35" s="15" t="s">
        <v>58</v>
      </c>
      <c r="D35" s="17" t="n">
        <v>46322</v>
      </c>
      <c r="E35" s="17" t="n">
        <v>46326</v>
      </c>
      <c r="F35" s="15" t="n">
        <f aca="false">E35-D35+1</f>
        <v>5</v>
      </c>
      <c r="G35" s="15" t="s">
        <v>97</v>
      </c>
      <c r="H35" s="15" t="s">
        <v>73</v>
      </c>
      <c r="I35" s="15" t="s">
        <v>31</v>
      </c>
      <c r="J35" s="17" t="n">
        <v>46315</v>
      </c>
      <c r="K35" s="17" t="n">
        <v>46319</v>
      </c>
      <c r="L35" s="18" t="n">
        <f aca="false">IF(K35="","",E35-K35)</f>
        <v>7</v>
      </c>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row>
    <row r="36" customFormat="false" ht="25.5" hidden="false" customHeight="true" outlineLevel="0" collapsed="false">
      <c r="A36" s="19" t="s">
        <v>104</v>
      </c>
      <c r="B36" s="20" t="s">
        <v>105</v>
      </c>
      <c r="C36" s="19" t="s">
        <v>58</v>
      </c>
      <c r="D36" s="21" t="n">
        <v>46322</v>
      </c>
      <c r="E36" s="21" t="n">
        <v>46324</v>
      </c>
      <c r="F36" s="19" t="n">
        <f aca="false">E36-D36+1</f>
        <v>3</v>
      </c>
      <c r="G36" s="19" t="s">
        <v>97</v>
      </c>
      <c r="H36" s="19" t="s">
        <v>73</v>
      </c>
      <c r="I36" s="19" t="s">
        <v>35</v>
      </c>
      <c r="J36" s="21"/>
      <c r="K36" s="21"/>
      <c r="L36" s="19" t="str">
        <f aca="false">IF(K36="","",E36-K36)</f>
        <v/>
      </c>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row>
    <row r="37" customFormat="false" ht="25.5" hidden="false" customHeight="true" outlineLevel="0" collapsed="false">
      <c r="A37" s="19" t="s">
        <v>106</v>
      </c>
      <c r="B37" s="20" t="s">
        <v>107</v>
      </c>
      <c r="C37" s="19" t="s">
        <v>108</v>
      </c>
      <c r="D37" s="21" t="n">
        <v>46323</v>
      </c>
      <c r="E37" s="21" t="n">
        <v>46325</v>
      </c>
      <c r="F37" s="19" t="n">
        <f aca="false">E37-D37+1</f>
        <v>3</v>
      </c>
      <c r="G37" s="19" t="s">
        <v>104</v>
      </c>
      <c r="H37" s="19" t="s">
        <v>73</v>
      </c>
      <c r="I37" s="19" t="s">
        <v>35</v>
      </c>
      <c r="J37" s="21"/>
      <c r="K37" s="21"/>
      <c r="L37" s="19" t="str">
        <f aca="false">IF(K37="","",E37-K37)</f>
        <v/>
      </c>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row>
    <row r="38" customFormat="false" ht="25.5" hidden="false" customHeight="true" outlineLevel="0" collapsed="false">
      <c r="A38" s="19" t="s">
        <v>109</v>
      </c>
      <c r="B38" s="20" t="s">
        <v>110</v>
      </c>
      <c r="C38" s="19" t="s">
        <v>91</v>
      </c>
      <c r="D38" s="21" t="n">
        <v>46324</v>
      </c>
      <c r="E38" s="21" t="n">
        <v>46325</v>
      </c>
      <c r="F38" s="19" t="n">
        <f aca="false">E38-D38+1</f>
        <v>2</v>
      </c>
      <c r="G38" s="19" t="s">
        <v>104</v>
      </c>
      <c r="H38" s="19" t="s">
        <v>73</v>
      </c>
      <c r="I38" s="19" t="s">
        <v>35</v>
      </c>
      <c r="J38" s="21"/>
      <c r="K38" s="21"/>
      <c r="L38" s="19" t="str">
        <f aca="false">IF(K38="","",E38-K38)</f>
        <v/>
      </c>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row>
    <row r="39" customFormat="false" ht="36" hidden="false" customHeight="true" outlineLevel="0" collapsed="false">
      <c r="A39" s="19" t="s">
        <v>111</v>
      </c>
      <c r="B39" s="20" t="s">
        <v>112</v>
      </c>
      <c r="C39" s="19" t="s">
        <v>91</v>
      </c>
      <c r="D39" s="21" t="n">
        <v>46325</v>
      </c>
      <c r="E39" s="21" t="n">
        <v>46326</v>
      </c>
      <c r="F39" s="19" t="n">
        <f aca="false">E39-D39+1</f>
        <v>2</v>
      </c>
      <c r="G39" s="19" t="s">
        <v>109</v>
      </c>
      <c r="H39" s="19" t="s">
        <v>73</v>
      </c>
      <c r="I39" s="19" t="s">
        <v>35</v>
      </c>
      <c r="J39" s="21"/>
      <c r="K39" s="21"/>
      <c r="L39" s="19" t="str">
        <f aca="false">IF(K39="","",E39-K39)</f>
        <v/>
      </c>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row>
    <row r="40" customFormat="false" ht="25.5" hidden="false" customHeight="true" outlineLevel="0" collapsed="false">
      <c r="A40" s="22" t="s">
        <v>113</v>
      </c>
      <c r="B40" s="23" t="s">
        <v>114</v>
      </c>
      <c r="C40" s="22" t="s">
        <v>58</v>
      </c>
      <c r="D40" s="24" t="n">
        <v>46326</v>
      </c>
      <c r="E40" s="24" t="n">
        <v>46326</v>
      </c>
      <c r="F40" s="22" t="n">
        <f aca="false">E40-D40+1</f>
        <v>1</v>
      </c>
      <c r="G40" s="22" t="s">
        <v>115</v>
      </c>
      <c r="H40" s="22" t="s">
        <v>73</v>
      </c>
      <c r="I40" s="22" t="s">
        <v>51</v>
      </c>
      <c r="J40" s="24"/>
      <c r="K40" s="24"/>
      <c r="L40" s="22" t="str">
        <f aca="false">IF(K40="","",E40-K40)</f>
        <v/>
      </c>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row>
    <row r="41" customFormat="false" ht="25.5" hidden="false" customHeight="true" outlineLevel="0" collapsed="false">
      <c r="A41" s="15" t="s">
        <v>116</v>
      </c>
      <c r="B41" s="16" t="s">
        <v>117</v>
      </c>
      <c r="C41" s="15" t="s">
        <v>91</v>
      </c>
      <c r="D41" s="17" t="n">
        <v>46329</v>
      </c>
      <c r="E41" s="17" t="n">
        <v>46333</v>
      </c>
      <c r="F41" s="15" t="n">
        <f aca="false">E41-D41+1</f>
        <v>5</v>
      </c>
      <c r="G41" s="15" t="s">
        <v>113</v>
      </c>
      <c r="H41" s="15" t="s">
        <v>73</v>
      </c>
      <c r="I41" s="15" t="s">
        <v>31</v>
      </c>
      <c r="J41" s="17" t="n">
        <v>46322</v>
      </c>
      <c r="K41" s="17" t="n">
        <v>46326</v>
      </c>
      <c r="L41" s="18" t="n">
        <f aca="false">IF(K41="","",E41-K41)</f>
        <v>7</v>
      </c>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row>
    <row r="42" customFormat="false" ht="25.5" hidden="false" customHeight="true" outlineLevel="0" collapsed="false">
      <c r="A42" s="19" t="s">
        <v>118</v>
      </c>
      <c r="B42" s="20" t="s">
        <v>119</v>
      </c>
      <c r="C42" s="19" t="s">
        <v>120</v>
      </c>
      <c r="D42" s="21" t="n">
        <v>46329</v>
      </c>
      <c r="E42" s="21" t="n">
        <v>46331</v>
      </c>
      <c r="F42" s="19" t="n">
        <f aca="false">E42-D42+1</f>
        <v>3</v>
      </c>
      <c r="G42" s="19" t="s">
        <v>113</v>
      </c>
      <c r="H42" s="19" t="s">
        <v>73</v>
      </c>
      <c r="I42" s="19" t="s">
        <v>35</v>
      </c>
      <c r="J42" s="21"/>
      <c r="K42" s="21"/>
      <c r="L42" s="19" t="str">
        <f aca="false">IF(K42="","",E42-K42)</f>
        <v/>
      </c>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row>
    <row r="43" customFormat="false" ht="25.5" hidden="false" customHeight="true" outlineLevel="0" collapsed="false">
      <c r="A43" s="19" t="s">
        <v>121</v>
      </c>
      <c r="B43" s="20" t="s">
        <v>122</v>
      </c>
      <c r="C43" s="19" t="s">
        <v>91</v>
      </c>
      <c r="D43" s="21" t="n">
        <v>46330</v>
      </c>
      <c r="E43" s="21" t="n">
        <v>46331</v>
      </c>
      <c r="F43" s="19" t="n">
        <f aca="false">E43-D43+1</f>
        <v>2</v>
      </c>
      <c r="G43" s="19" t="s">
        <v>113</v>
      </c>
      <c r="H43" s="19" t="s">
        <v>73</v>
      </c>
      <c r="I43" s="19" t="s">
        <v>35</v>
      </c>
      <c r="J43" s="21"/>
      <c r="K43" s="21"/>
      <c r="L43" s="19" t="str">
        <f aca="false">IF(K43="","",E43-K43)</f>
        <v/>
      </c>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row>
    <row r="44" customFormat="false" ht="25.5" hidden="false" customHeight="true" outlineLevel="0" collapsed="false">
      <c r="A44" s="19" t="s">
        <v>123</v>
      </c>
      <c r="B44" s="20" t="s">
        <v>124</v>
      </c>
      <c r="C44" s="19" t="s">
        <v>58</v>
      </c>
      <c r="D44" s="21" t="n">
        <v>46331</v>
      </c>
      <c r="E44" s="21" t="n">
        <v>46332</v>
      </c>
      <c r="F44" s="19" t="n">
        <f aca="false">E44-D44+1</f>
        <v>2</v>
      </c>
      <c r="G44" s="19" t="s">
        <v>118</v>
      </c>
      <c r="H44" s="19" t="s">
        <v>73</v>
      </c>
      <c r="I44" s="19" t="s">
        <v>35</v>
      </c>
      <c r="J44" s="21"/>
      <c r="K44" s="21"/>
      <c r="L44" s="19" t="str">
        <f aca="false">IF(K44="","",E44-K44)</f>
        <v/>
      </c>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row>
    <row r="45" customFormat="false" ht="25.5" hidden="false" customHeight="true" outlineLevel="0" collapsed="false">
      <c r="A45" s="19" t="s">
        <v>125</v>
      </c>
      <c r="B45" s="20" t="s">
        <v>126</v>
      </c>
      <c r="C45" s="19" t="s">
        <v>26</v>
      </c>
      <c r="D45" s="21" t="n">
        <v>46332</v>
      </c>
      <c r="E45" s="21" t="n">
        <v>46333</v>
      </c>
      <c r="F45" s="19" t="n">
        <f aca="false">E45-D45+1</f>
        <v>2</v>
      </c>
      <c r="G45" s="19" t="s">
        <v>118</v>
      </c>
      <c r="H45" s="19" t="s">
        <v>73</v>
      </c>
      <c r="I45" s="19" t="s">
        <v>35</v>
      </c>
      <c r="J45" s="21"/>
      <c r="K45" s="21"/>
      <c r="L45" s="19" t="str">
        <f aca="false">IF(K45="","",E45-K45)</f>
        <v/>
      </c>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row>
    <row r="46" customFormat="false" ht="25.5" hidden="false" customHeight="true" outlineLevel="0" collapsed="false">
      <c r="A46" s="22" t="s">
        <v>127</v>
      </c>
      <c r="B46" s="23" t="s">
        <v>128</v>
      </c>
      <c r="C46" s="22" t="s">
        <v>91</v>
      </c>
      <c r="D46" s="24" t="n">
        <v>46333</v>
      </c>
      <c r="E46" s="24" t="n">
        <v>46333</v>
      </c>
      <c r="F46" s="22" t="n">
        <f aca="false">E46-D46+1</f>
        <v>1</v>
      </c>
      <c r="G46" s="22" t="s">
        <v>129</v>
      </c>
      <c r="H46" s="22" t="s">
        <v>73</v>
      </c>
      <c r="I46" s="22" t="s">
        <v>51</v>
      </c>
      <c r="J46" s="24"/>
      <c r="K46" s="24"/>
      <c r="L46" s="22" t="str">
        <f aca="false">IF(K46="","",E46-K46)</f>
        <v/>
      </c>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row>
    <row r="47" customFormat="false" ht="16.5" hidden="false" customHeight="true" outlineLevel="0" collapsed="false">
      <c r="A47" s="11" t="s">
        <v>130</v>
      </c>
      <c r="B47" s="12" t="s">
        <v>131</v>
      </c>
      <c r="C47" s="11" t="s">
        <v>26</v>
      </c>
      <c r="D47" s="13" t="n">
        <v>46336</v>
      </c>
      <c r="E47" s="13" t="n">
        <v>46347</v>
      </c>
      <c r="F47" s="11" t="n">
        <f aca="false">E47-D47+1</f>
        <v>12</v>
      </c>
      <c r="G47" s="11" t="s">
        <v>127</v>
      </c>
      <c r="H47" s="11" t="s">
        <v>73</v>
      </c>
      <c r="I47" s="11" t="s">
        <v>28</v>
      </c>
      <c r="J47" s="13"/>
      <c r="K47" s="13"/>
      <c r="L47" s="11" t="str">
        <f aca="false">IF(K47="","",E47-K47)</f>
        <v/>
      </c>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row>
    <row r="48" customFormat="false" ht="16.5" hidden="false" customHeight="true" outlineLevel="0" collapsed="false">
      <c r="A48" s="15" t="s">
        <v>132</v>
      </c>
      <c r="B48" s="16" t="s">
        <v>133</v>
      </c>
      <c r="C48" s="15" t="s">
        <v>43</v>
      </c>
      <c r="D48" s="17" t="n">
        <v>46336</v>
      </c>
      <c r="E48" s="17" t="n">
        <v>46340</v>
      </c>
      <c r="F48" s="15" t="n">
        <f aca="false">E48-D48+1</f>
        <v>5</v>
      </c>
      <c r="G48" s="15" t="s">
        <v>127</v>
      </c>
      <c r="H48" s="15" t="s">
        <v>73</v>
      </c>
      <c r="I48" s="15" t="s">
        <v>31</v>
      </c>
      <c r="J48" s="17" t="n">
        <v>46329</v>
      </c>
      <c r="K48" s="17" t="n">
        <v>46333</v>
      </c>
      <c r="L48" s="18" t="n">
        <f aca="false">IF(K48="","",E48-K48)</f>
        <v>7</v>
      </c>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row>
    <row r="49" customFormat="false" ht="25.5" hidden="false" customHeight="true" outlineLevel="0" collapsed="false">
      <c r="A49" s="19" t="s">
        <v>134</v>
      </c>
      <c r="B49" s="20" t="s">
        <v>135</v>
      </c>
      <c r="C49" s="19" t="s">
        <v>40</v>
      </c>
      <c r="D49" s="21" t="n">
        <v>46336</v>
      </c>
      <c r="E49" s="21" t="n">
        <v>46337</v>
      </c>
      <c r="F49" s="19" t="n">
        <f aca="false">E49-D49+1</f>
        <v>2</v>
      </c>
      <c r="G49" s="19" t="s">
        <v>127</v>
      </c>
      <c r="H49" s="19" t="s">
        <v>73</v>
      </c>
      <c r="I49" s="19" t="s">
        <v>35</v>
      </c>
      <c r="J49" s="21"/>
      <c r="K49" s="21"/>
      <c r="L49" s="19" t="str">
        <f aca="false">IF(K49="","",E49-K49)</f>
        <v/>
      </c>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row>
    <row r="50" customFormat="false" ht="36" hidden="false" customHeight="true" outlineLevel="0" collapsed="false">
      <c r="A50" s="19" t="s">
        <v>136</v>
      </c>
      <c r="B50" s="20" t="s">
        <v>137</v>
      </c>
      <c r="C50" s="19" t="s">
        <v>34</v>
      </c>
      <c r="D50" s="21" t="n">
        <v>46336</v>
      </c>
      <c r="E50" s="21" t="n">
        <v>46337</v>
      </c>
      <c r="F50" s="19" t="n">
        <f aca="false">E50-D50+1</f>
        <v>2</v>
      </c>
      <c r="G50" s="19" t="s">
        <v>127</v>
      </c>
      <c r="H50" s="19" t="s">
        <v>73</v>
      </c>
      <c r="I50" s="19" t="s">
        <v>35</v>
      </c>
      <c r="J50" s="21"/>
      <c r="K50" s="21"/>
      <c r="L50" s="19" t="str">
        <f aca="false">IF(K50="","",E50-K50)</f>
        <v/>
      </c>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row>
    <row r="51" customFormat="false" ht="25.5" hidden="false" customHeight="true" outlineLevel="0" collapsed="false">
      <c r="A51" s="19" t="s">
        <v>138</v>
      </c>
      <c r="B51" s="20" t="s">
        <v>139</v>
      </c>
      <c r="C51" s="19" t="s">
        <v>140</v>
      </c>
      <c r="D51" s="21" t="n">
        <v>46338</v>
      </c>
      <c r="E51" s="21" t="n">
        <v>46339</v>
      </c>
      <c r="F51" s="19" t="n">
        <f aca="false">E51-D51+1</f>
        <v>2</v>
      </c>
      <c r="G51" s="19" t="s">
        <v>136</v>
      </c>
      <c r="H51" s="19" t="s">
        <v>73</v>
      </c>
      <c r="I51" s="19" t="s">
        <v>35</v>
      </c>
      <c r="J51" s="21"/>
      <c r="K51" s="21"/>
      <c r="L51" s="19" t="str">
        <f aca="false">IF(K51="","",E51-K51)</f>
        <v/>
      </c>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row>
    <row r="52" customFormat="false" ht="25.5" hidden="false" customHeight="true" outlineLevel="0" collapsed="false">
      <c r="A52" s="19" t="s">
        <v>141</v>
      </c>
      <c r="B52" s="20" t="s">
        <v>142</v>
      </c>
      <c r="C52" s="19" t="s">
        <v>58</v>
      </c>
      <c r="D52" s="21" t="n">
        <v>46338</v>
      </c>
      <c r="E52" s="21" t="n">
        <v>46339</v>
      </c>
      <c r="F52" s="19" t="n">
        <f aca="false">E52-D52+1</f>
        <v>2</v>
      </c>
      <c r="G52" s="19" t="s">
        <v>134</v>
      </c>
      <c r="H52" s="19" t="s">
        <v>73</v>
      </c>
      <c r="I52" s="19" t="s">
        <v>35</v>
      </c>
      <c r="J52" s="21"/>
      <c r="K52" s="21"/>
      <c r="L52" s="19" t="str">
        <f aca="false">IF(K52="","",E52-K52)</f>
        <v/>
      </c>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row>
    <row r="53" customFormat="false" ht="25.5" hidden="false" customHeight="true" outlineLevel="0" collapsed="false">
      <c r="A53" s="19" t="s">
        <v>143</v>
      </c>
      <c r="B53" s="20" t="s">
        <v>144</v>
      </c>
      <c r="C53" s="19" t="s">
        <v>91</v>
      </c>
      <c r="D53" s="21" t="n">
        <v>46339</v>
      </c>
      <c r="E53" s="21" t="n">
        <v>46340</v>
      </c>
      <c r="F53" s="19" t="n">
        <f aca="false">E53-D53+1</f>
        <v>2</v>
      </c>
      <c r="G53" s="19" t="s">
        <v>138</v>
      </c>
      <c r="H53" s="19" t="s">
        <v>73</v>
      </c>
      <c r="I53" s="19" t="s">
        <v>35</v>
      </c>
      <c r="J53" s="21"/>
      <c r="K53" s="21"/>
      <c r="L53" s="19" t="str">
        <f aca="false">IF(K53="","",E53-K53)</f>
        <v/>
      </c>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row>
    <row r="54" customFormat="false" ht="25.5" hidden="false" customHeight="true" outlineLevel="0" collapsed="false">
      <c r="A54" s="22" t="s">
        <v>145</v>
      </c>
      <c r="B54" s="23" t="s">
        <v>146</v>
      </c>
      <c r="C54" s="22" t="s">
        <v>34</v>
      </c>
      <c r="D54" s="24" t="n">
        <v>46340</v>
      </c>
      <c r="E54" s="24" t="n">
        <v>46340</v>
      </c>
      <c r="F54" s="22" t="n">
        <f aca="false">E54-D54+1</f>
        <v>1</v>
      </c>
      <c r="G54" s="22" t="s">
        <v>147</v>
      </c>
      <c r="H54" s="22" t="s">
        <v>73</v>
      </c>
      <c r="I54" s="22" t="s">
        <v>51</v>
      </c>
      <c r="J54" s="24"/>
      <c r="K54" s="24"/>
      <c r="L54" s="22" t="str">
        <f aca="false">IF(K54="","",E54-K54)</f>
        <v/>
      </c>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row>
    <row r="55" customFormat="false" ht="25.5" hidden="false" customHeight="true" outlineLevel="0" collapsed="false">
      <c r="A55" s="15" t="s">
        <v>148</v>
      </c>
      <c r="B55" s="16" t="s">
        <v>149</v>
      </c>
      <c r="C55" s="15" t="s">
        <v>150</v>
      </c>
      <c r="D55" s="17" t="n">
        <v>46343</v>
      </c>
      <c r="E55" s="17" t="n">
        <v>46347</v>
      </c>
      <c r="F55" s="15" t="n">
        <f aca="false">E55-D55+1</f>
        <v>5</v>
      </c>
      <c r="G55" s="15" t="s">
        <v>145</v>
      </c>
      <c r="H55" s="15" t="s">
        <v>73</v>
      </c>
      <c r="I55" s="15" t="s">
        <v>31</v>
      </c>
      <c r="J55" s="17" t="n">
        <v>46336</v>
      </c>
      <c r="K55" s="17" t="n">
        <v>46340</v>
      </c>
      <c r="L55" s="18" t="n">
        <f aca="false">IF(K55="","",E55-K55)</f>
        <v>7</v>
      </c>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row>
    <row r="56" customFormat="false" ht="25.5" hidden="false" customHeight="true" outlineLevel="0" collapsed="false">
      <c r="A56" s="19" t="s">
        <v>151</v>
      </c>
      <c r="B56" s="20" t="s">
        <v>152</v>
      </c>
      <c r="C56" s="19" t="s">
        <v>120</v>
      </c>
      <c r="D56" s="21" t="n">
        <v>46343</v>
      </c>
      <c r="E56" s="21" t="n">
        <v>46345</v>
      </c>
      <c r="F56" s="19" t="n">
        <f aca="false">E56-D56+1</f>
        <v>3</v>
      </c>
      <c r="G56" s="19" t="s">
        <v>145</v>
      </c>
      <c r="H56" s="19" t="s">
        <v>73</v>
      </c>
      <c r="I56" s="19" t="s">
        <v>35</v>
      </c>
      <c r="J56" s="21"/>
      <c r="K56" s="21"/>
      <c r="L56" s="19" t="str">
        <f aca="false">IF(K56="","",E56-K56)</f>
        <v/>
      </c>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row>
    <row r="57" customFormat="false" ht="16.5" hidden="false" customHeight="true" outlineLevel="0" collapsed="false">
      <c r="A57" s="19" t="s">
        <v>153</v>
      </c>
      <c r="B57" s="20" t="s">
        <v>154</v>
      </c>
      <c r="C57" s="19" t="s">
        <v>91</v>
      </c>
      <c r="D57" s="21" t="n">
        <v>46344</v>
      </c>
      <c r="E57" s="21" t="n">
        <v>46345</v>
      </c>
      <c r="F57" s="19" t="n">
        <f aca="false">E57-D57+1</f>
        <v>2</v>
      </c>
      <c r="G57" s="19" t="s">
        <v>151</v>
      </c>
      <c r="H57" s="19" t="s">
        <v>73</v>
      </c>
      <c r="I57" s="19" t="s">
        <v>35</v>
      </c>
      <c r="J57" s="21"/>
      <c r="K57" s="21"/>
      <c r="L57" s="19" t="str">
        <f aca="false">IF(K57="","",E57-K57)</f>
        <v/>
      </c>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row>
    <row r="58" customFormat="false" ht="25.5" hidden="false" customHeight="true" outlineLevel="0" collapsed="false">
      <c r="A58" s="19" t="s">
        <v>155</v>
      </c>
      <c r="B58" s="20" t="s">
        <v>156</v>
      </c>
      <c r="C58" s="19" t="s">
        <v>157</v>
      </c>
      <c r="D58" s="21" t="n">
        <v>46344</v>
      </c>
      <c r="E58" s="21" t="n">
        <v>46346</v>
      </c>
      <c r="F58" s="19" t="n">
        <f aca="false">E58-D58+1</f>
        <v>3</v>
      </c>
      <c r="G58" s="19" t="s">
        <v>145</v>
      </c>
      <c r="H58" s="19" t="s">
        <v>73</v>
      </c>
      <c r="I58" s="19" t="s">
        <v>35</v>
      </c>
      <c r="J58" s="21"/>
      <c r="K58" s="21"/>
      <c r="L58" s="19" t="str">
        <f aca="false">IF(K58="","",E58-K58)</f>
        <v/>
      </c>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row>
    <row r="59" customFormat="false" ht="25.5" hidden="false" customHeight="true" outlineLevel="0" collapsed="false">
      <c r="A59" s="19" t="s">
        <v>158</v>
      </c>
      <c r="B59" s="20" t="s">
        <v>159</v>
      </c>
      <c r="C59" s="19" t="s">
        <v>40</v>
      </c>
      <c r="D59" s="21" t="n">
        <v>46345</v>
      </c>
      <c r="E59" s="21" t="n">
        <v>46346</v>
      </c>
      <c r="F59" s="19" t="n">
        <f aca="false">E59-D59+1</f>
        <v>2</v>
      </c>
      <c r="G59" s="19" t="s">
        <v>155</v>
      </c>
      <c r="H59" s="19" t="s">
        <v>73</v>
      </c>
      <c r="I59" s="19" t="s">
        <v>35</v>
      </c>
      <c r="J59" s="21"/>
      <c r="K59" s="21"/>
      <c r="L59" s="19" t="str">
        <f aca="false">IF(K59="","",E59-K59)</f>
        <v/>
      </c>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row>
    <row r="60" customFormat="false" ht="25.5" hidden="false" customHeight="true" outlineLevel="0" collapsed="false">
      <c r="A60" s="19" t="s">
        <v>160</v>
      </c>
      <c r="B60" s="20" t="s">
        <v>161</v>
      </c>
      <c r="C60" s="19" t="s">
        <v>162</v>
      </c>
      <c r="D60" s="21" t="n">
        <v>46345</v>
      </c>
      <c r="E60" s="21" t="n">
        <v>46347</v>
      </c>
      <c r="F60" s="19" t="n">
        <f aca="false">E60-D60+1</f>
        <v>3</v>
      </c>
      <c r="G60" s="19" t="s">
        <v>155</v>
      </c>
      <c r="H60" s="19" t="s">
        <v>73</v>
      </c>
      <c r="I60" s="19" t="s">
        <v>35</v>
      </c>
      <c r="J60" s="21"/>
      <c r="K60" s="21"/>
      <c r="L60" s="19" t="str">
        <f aca="false">IF(K60="","",E60-K60)</f>
        <v/>
      </c>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row>
    <row r="61" customFormat="false" ht="25.5" hidden="false" customHeight="true" outlineLevel="0" collapsed="false">
      <c r="A61" s="22" t="s">
        <v>163</v>
      </c>
      <c r="B61" s="23" t="s">
        <v>164</v>
      </c>
      <c r="C61" s="22" t="s">
        <v>91</v>
      </c>
      <c r="D61" s="24" t="n">
        <v>46347</v>
      </c>
      <c r="E61" s="24" t="n">
        <v>46347</v>
      </c>
      <c r="F61" s="22" t="n">
        <f aca="false">E61-D61+1</f>
        <v>1</v>
      </c>
      <c r="G61" s="22" t="s">
        <v>165</v>
      </c>
      <c r="H61" s="22" t="s">
        <v>73</v>
      </c>
      <c r="I61" s="22" t="s">
        <v>51</v>
      </c>
      <c r="J61" s="24"/>
      <c r="K61" s="24"/>
      <c r="L61" s="22" t="str">
        <f aca="false">IF(K61="","",E61-K61)</f>
        <v/>
      </c>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row>
    <row r="62" customFormat="false" ht="16.5" hidden="false" customHeight="true" outlineLevel="0" collapsed="false">
      <c r="A62" s="11" t="s">
        <v>166</v>
      </c>
      <c r="B62" s="12" t="s">
        <v>167</v>
      </c>
      <c r="C62" s="11" t="s">
        <v>26</v>
      </c>
      <c r="D62" s="13" t="n">
        <v>46350</v>
      </c>
      <c r="E62" s="13" t="n">
        <v>46361</v>
      </c>
      <c r="F62" s="11" t="n">
        <f aca="false">E62-D62+1</f>
        <v>12</v>
      </c>
      <c r="G62" s="11" t="s">
        <v>163</v>
      </c>
      <c r="H62" s="11" t="s">
        <v>73</v>
      </c>
      <c r="I62" s="11" t="s">
        <v>28</v>
      </c>
      <c r="J62" s="13"/>
      <c r="K62" s="13"/>
      <c r="L62" s="11" t="str">
        <f aca="false">IF(K62="","",E62-K62)</f>
        <v/>
      </c>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row>
    <row r="63" customFormat="false" ht="16.5" hidden="false" customHeight="true" outlineLevel="0" collapsed="false">
      <c r="A63" s="15" t="s">
        <v>168</v>
      </c>
      <c r="B63" s="16" t="s">
        <v>169</v>
      </c>
      <c r="C63" s="15" t="s">
        <v>26</v>
      </c>
      <c r="D63" s="17" t="n">
        <v>46350</v>
      </c>
      <c r="E63" s="17" t="n">
        <v>46357</v>
      </c>
      <c r="F63" s="15" t="n">
        <f aca="false">E63-D63+1</f>
        <v>8</v>
      </c>
      <c r="G63" s="15" t="s">
        <v>163</v>
      </c>
      <c r="H63" s="15" t="s">
        <v>73</v>
      </c>
      <c r="I63" s="15" t="s">
        <v>31</v>
      </c>
      <c r="J63" s="17" t="n">
        <v>46343</v>
      </c>
      <c r="K63" s="17" t="n">
        <v>46347</v>
      </c>
      <c r="L63" s="18" t="n">
        <f aca="false">IF(K63="","",E63-K63)</f>
        <v>10</v>
      </c>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row>
    <row r="64" customFormat="false" ht="25.5" hidden="false" customHeight="true" outlineLevel="0" collapsed="false">
      <c r="A64" s="19" t="s">
        <v>170</v>
      </c>
      <c r="B64" s="20" t="s">
        <v>171</v>
      </c>
      <c r="C64" s="19" t="s">
        <v>26</v>
      </c>
      <c r="D64" s="21" t="n">
        <v>46350</v>
      </c>
      <c r="E64" s="21" t="n">
        <v>46351</v>
      </c>
      <c r="F64" s="19" t="n">
        <f aca="false">E64-D64+1</f>
        <v>2</v>
      </c>
      <c r="G64" s="19" t="s">
        <v>163</v>
      </c>
      <c r="H64" s="19" t="s">
        <v>73</v>
      </c>
      <c r="I64" s="19" t="s">
        <v>35</v>
      </c>
      <c r="J64" s="21"/>
      <c r="K64" s="21"/>
      <c r="L64" s="19" t="str">
        <f aca="false">IF(K64="","",E64-K64)</f>
        <v/>
      </c>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row>
    <row r="65" customFormat="false" ht="16.5" hidden="false" customHeight="true" outlineLevel="0" collapsed="false">
      <c r="A65" s="25" t="s">
        <v>172</v>
      </c>
      <c r="B65" s="26" t="s">
        <v>173</v>
      </c>
      <c r="C65" s="25"/>
      <c r="D65" s="27" t="n">
        <v>46352</v>
      </c>
      <c r="E65" s="27" t="n">
        <v>46352</v>
      </c>
      <c r="F65" s="25" t="n">
        <f aca="false">E65-D65+1</f>
        <v>1</v>
      </c>
      <c r="G65" s="25"/>
      <c r="H65" s="25"/>
      <c r="I65" s="25" t="s">
        <v>174</v>
      </c>
      <c r="J65" s="27"/>
      <c r="K65" s="27"/>
      <c r="L65" s="25" t="str">
        <f aca="false">IF(K65="","",E65-K65)</f>
        <v/>
      </c>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row>
    <row r="66" customFormat="false" ht="25.5" hidden="false" customHeight="true" outlineLevel="0" collapsed="false">
      <c r="A66" s="19" t="s">
        <v>175</v>
      </c>
      <c r="B66" s="20" t="s">
        <v>176</v>
      </c>
      <c r="C66" s="19" t="s">
        <v>40</v>
      </c>
      <c r="D66" s="21" t="n">
        <v>46353</v>
      </c>
      <c r="E66" s="21" t="n">
        <v>46354</v>
      </c>
      <c r="F66" s="19" t="n">
        <f aca="false">E66-D66+1</f>
        <v>2</v>
      </c>
      <c r="G66" s="19" t="s">
        <v>170</v>
      </c>
      <c r="H66" s="19" t="s">
        <v>73</v>
      </c>
      <c r="I66" s="19" t="s">
        <v>35</v>
      </c>
      <c r="J66" s="21"/>
      <c r="K66" s="21"/>
      <c r="L66" s="19" t="str">
        <f aca="false">IF(K66="","",E66-K66)</f>
        <v/>
      </c>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row>
    <row r="67" customFormat="false" ht="16.5" hidden="false" customHeight="true" outlineLevel="0" collapsed="false">
      <c r="A67" s="19" t="s">
        <v>177</v>
      </c>
      <c r="B67" s="20" t="s">
        <v>178</v>
      </c>
      <c r="C67" s="19" t="s">
        <v>26</v>
      </c>
      <c r="D67" s="21" t="n">
        <v>46353</v>
      </c>
      <c r="E67" s="21" t="n">
        <v>46355</v>
      </c>
      <c r="F67" s="19" t="n">
        <f aca="false">E67-D67+1</f>
        <v>3</v>
      </c>
      <c r="G67" s="19" t="s">
        <v>170</v>
      </c>
      <c r="H67" s="19" t="s">
        <v>73</v>
      </c>
      <c r="I67" s="19" t="s">
        <v>35</v>
      </c>
      <c r="J67" s="21"/>
      <c r="K67" s="21"/>
      <c r="L67" s="19" t="str">
        <f aca="false">IF(K67="","",E67-K67)</f>
        <v/>
      </c>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row>
    <row r="68" customFormat="false" ht="25.5" hidden="false" customHeight="true" outlineLevel="0" collapsed="false">
      <c r="A68" s="19" t="s">
        <v>179</v>
      </c>
      <c r="B68" s="20" t="s">
        <v>180</v>
      </c>
      <c r="C68" s="19" t="s">
        <v>26</v>
      </c>
      <c r="D68" s="21" t="n">
        <v>46355</v>
      </c>
      <c r="E68" s="21" t="n">
        <v>46356</v>
      </c>
      <c r="F68" s="19" t="n">
        <f aca="false">E68-D68+1</f>
        <v>2</v>
      </c>
      <c r="G68" s="19" t="s">
        <v>177</v>
      </c>
      <c r="H68" s="19" t="s">
        <v>73</v>
      </c>
      <c r="I68" s="19" t="s">
        <v>35</v>
      </c>
      <c r="J68" s="21"/>
      <c r="K68" s="21"/>
      <c r="L68" s="19" t="str">
        <f aca="false">IF(K68="","",E68-K68)</f>
        <v/>
      </c>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row>
    <row r="69" customFormat="false" ht="25.5" hidden="false" customHeight="true" outlineLevel="0" collapsed="false">
      <c r="A69" s="19" t="s">
        <v>181</v>
      </c>
      <c r="B69" s="20" t="s">
        <v>182</v>
      </c>
      <c r="C69" s="19" t="s">
        <v>34</v>
      </c>
      <c r="D69" s="21" t="n">
        <v>46357</v>
      </c>
      <c r="E69" s="21" t="n">
        <v>46357</v>
      </c>
      <c r="F69" s="19" t="n">
        <f aca="false">E69-D69+1</f>
        <v>1</v>
      </c>
      <c r="G69" s="19" t="s">
        <v>179</v>
      </c>
      <c r="H69" s="19" t="s">
        <v>73</v>
      </c>
      <c r="I69" s="19" t="s">
        <v>35</v>
      </c>
      <c r="J69" s="21"/>
      <c r="K69" s="21"/>
      <c r="L69" s="19" t="str">
        <f aca="false">IF(K69="","",E69-K69)</f>
        <v/>
      </c>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row>
    <row r="70" customFormat="false" ht="25.5" hidden="false" customHeight="true" outlineLevel="0" collapsed="false">
      <c r="A70" s="22" t="s">
        <v>183</v>
      </c>
      <c r="B70" s="23" t="s">
        <v>184</v>
      </c>
      <c r="C70" s="22" t="s">
        <v>34</v>
      </c>
      <c r="D70" s="24" t="n">
        <v>46357</v>
      </c>
      <c r="E70" s="24" t="n">
        <v>46357</v>
      </c>
      <c r="F70" s="22" t="n">
        <f aca="false">E70-D70+1</f>
        <v>1</v>
      </c>
      <c r="G70" s="22" t="s">
        <v>185</v>
      </c>
      <c r="H70" s="22" t="s">
        <v>73</v>
      </c>
      <c r="I70" s="22" t="s">
        <v>51</v>
      </c>
      <c r="J70" s="24"/>
      <c r="K70" s="24"/>
      <c r="L70" s="22" t="str">
        <f aca="false">IF(K70="","",E70-K70)</f>
        <v/>
      </c>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row>
    <row r="71" customFormat="false" ht="25.5" hidden="false" customHeight="true" outlineLevel="0" collapsed="false">
      <c r="A71" s="25" t="s">
        <v>186</v>
      </c>
      <c r="B71" s="26" t="s">
        <v>187</v>
      </c>
      <c r="C71" s="25" t="s">
        <v>26</v>
      </c>
      <c r="D71" s="27" t="n">
        <v>46358</v>
      </c>
      <c r="E71" s="27" t="n">
        <v>46360</v>
      </c>
      <c r="F71" s="25" t="n">
        <f aca="false">E71-D71+1</f>
        <v>3</v>
      </c>
      <c r="G71" s="25" t="s">
        <v>183</v>
      </c>
      <c r="H71" s="25"/>
      <c r="I71" s="25" t="s">
        <v>188</v>
      </c>
      <c r="J71" s="27"/>
      <c r="K71" s="27"/>
      <c r="L71" s="25" t="str">
        <f aca="false">IF(K71="","",E71-K71)</f>
        <v/>
      </c>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row>
    <row r="72" customFormat="false" ht="16.5" hidden="false" customHeight="true" outlineLevel="0" collapsed="false">
      <c r="A72" s="28" t="s">
        <v>189</v>
      </c>
      <c r="B72" s="29" t="s">
        <v>5</v>
      </c>
      <c r="C72" s="28"/>
      <c r="D72" s="30" t="n">
        <v>46361</v>
      </c>
      <c r="E72" s="30" t="n">
        <v>46361</v>
      </c>
      <c r="F72" s="28" t="n">
        <f aca="false">E72-D72+1</f>
        <v>1</v>
      </c>
      <c r="G72" s="28"/>
      <c r="H72" s="28"/>
      <c r="I72" s="28" t="s">
        <v>190</v>
      </c>
      <c r="J72" s="30"/>
      <c r="K72" s="30"/>
      <c r="L72" s="28" t="str">
        <f aca="false">IF(K72="","",E72-K72)</f>
        <v/>
      </c>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row>
    <row r="73" customFormat="false" ht="25.5" hidden="false" customHeight="true" outlineLevel="0" collapsed="false">
      <c r="A73" s="25" t="s">
        <v>191</v>
      </c>
      <c r="B73" s="26" t="s">
        <v>192</v>
      </c>
      <c r="C73" s="25" t="s">
        <v>26</v>
      </c>
      <c r="D73" s="27" t="n">
        <v>46294</v>
      </c>
      <c r="E73" s="27" t="n">
        <v>46357</v>
      </c>
      <c r="F73" s="25" t="n">
        <f aca="false">E73-D73+1</f>
        <v>64</v>
      </c>
      <c r="G73" s="25"/>
      <c r="H73" s="25" t="s">
        <v>193</v>
      </c>
      <c r="I73" s="25" t="s">
        <v>194</v>
      </c>
      <c r="J73" s="27"/>
      <c r="K73" s="27"/>
      <c r="L73" s="25" t="str">
        <f aca="false">IF(K73="","",E73-K73)</f>
        <v/>
      </c>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row>
    <row r="75" customFormat="false" ht="15" hidden="false" customHeight="false" outlineLevel="0" collapsed="false">
      <c r="B75" s="31" t="s">
        <v>195</v>
      </c>
    </row>
    <row r="76" customFormat="false" ht="15" hidden="false" customHeight="false" outlineLevel="0" collapsed="false">
      <c r="A76" s="32"/>
      <c r="B76" s="33" t="s">
        <v>196</v>
      </c>
    </row>
    <row r="77" customFormat="false" ht="15" hidden="false" customHeight="false" outlineLevel="0" collapsed="false">
      <c r="A77" s="34"/>
      <c r="B77" s="33" t="s">
        <v>197</v>
      </c>
    </row>
    <row r="78" customFormat="false" ht="15" hidden="false" customHeight="false" outlineLevel="0" collapsed="false">
      <c r="A78" s="35"/>
      <c r="B78" s="33" t="s">
        <v>198</v>
      </c>
    </row>
    <row r="79" customFormat="false" ht="15" hidden="false" customHeight="false" outlineLevel="0" collapsed="false">
      <c r="A79" s="36"/>
      <c r="B79" s="33" t="s">
        <v>35</v>
      </c>
    </row>
    <row r="80" customFormat="false" ht="15" hidden="false" customHeight="false" outlineLevel="0" collapsed="false">
      <c r="A80" s="37"/>
      <c r="B80" s="33" t="s">
        <v>199</v>
      </c>
    </row>
    <row r="81" customFormat="false" ht="15" hidden="false" customHeight="false" outlineLevel="0" collapsed="false">
      <c r="A81" s="38"/>
      <c r="B81" s="33" t="s">
        <v>200</v>
      </c>
    </row>
    <row r="82" customFormat="false" ht="15" hidden="false" customHeight="false" outlineLevel="0" collapsed="false">
      <c r="A82" s="39"/>
      <c r="B82" s="33" t="s">
        <v>201</v>
      </c>
    </row>
    <row r="83" customFormat="false" ht="15" hidden="false" customHeight="false" outlineLevel="0" collapsed="false">
      <c r="A83" s="40"/>
      <c r="B83" s="33" t="s">
        <v>174</v>
      </c>
    </row>
    <row r="84" customFormat="false" ht="15" hidden="false" customHeight="false" outlineLevel="0" collapsed="false">
      <c r="A84" s="41"/>
      <c r="B84" s="33" t="s">
        <v>5</v>
      </c>
    </row>
    <row r="85" customFormat="false" ht="15" hidden="false" customHeight="false" outlineLevel="0" collapsed="false">
      <c r="A85" s="42"/>
      <c r="B85" s="33" t="s">
        <v>202</v>
      </c>
    </row>
    <row r="87" customFormat="false" ht="15" hidden="false" customHeight="false" outlineLevel="0" collapsed="false">
      <c r="B87" s="31" t="s">
        <v>203</v>
      </c>
    </row>
    <row r="88" customFormat="false" ht="27.75" hidden="false" customHeight="true" outlineLevel="0" collapsed="false">
      <c r="B88" s="43" t="s">
        <v>204</v>
      </c>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3"/>
      <c r="BJ88" s="43"/>
      <c r="BK88" s="43"/>
      <c r="BL88" s="43"/>
      <c r="BM88" s="43"/>
      <c r="BN88" s="43"/>
      <c r="BO88" s="43"/>
      <c r="BP88" s="43"/>
      <c r="BQ88" s="43"/>
      <c r="BR88" s="43"/>
      <c r="BS88" s="43"/>
      <c r="BT88" s="43"/>
      <c r="BU88" s="43"/>
      <c r="BV88" s="43"/>
      <c r="BW88" s="43"/>
      <c r="BX88" s="43"/>
      <c r="BY88" s="43"/>
      <c r="BZ88" s="43"/>
      <c r="CA88" s="43"/>
      <c r="CB88" s="43"/>
    </row>
    <row r="89" customFormat="false" ht="27.75" hidden="false" customHeight="true" outlineLevel="0" collapsed="false">
      <c r="B89" s="43" t="s">
        <v>205</v>
      </c>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c r="BF89" s="43"/>
      <c r="BG89" s="43"/>
      <c r="BH89" s="43"/>
      <c r="BI89" s="43"/>
      <c r="BJ89" s="43"/>
      <c r="BK89" s="43"/>
      <c r="BL89" s="43"/>
      <c r="BM89" s="43"/>
      <c r="BN89" s="43"/>
      <c r="BO89" s="43"/>
      <c r="BP89" s="43"/>
      <c r="BQ89" s="43"/>
      <c r="BR89" s="43"/>
      <c r="BS89" s="43"/>
      <c r="BT89" s="43"/>
      <c r="BU89" s="43"/>
      <c r="BV89" s="43"/>
      <c r="BW89" s="43"/>
      <c r="BX89" s="43"/>
      <c r="BY89" s="43"/>
      <c r="BZ89" s="43"/>
      <c r="CA89" s="43"/>
      <c r="CB89" s="43"/>
    </row>
    <row r="90" customFormat="false" ht="27.75" hidden="false" customHeight="true" outlineLevel="0" collapsed="false">
      <c r="B90" s="43" t="s">
        <v>206</v>
      </c>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3"/>
      <c r="BJ90" s="43"/>
      <c r="BK90" s="43"/>
      <c r="BL90" s="43"/>
      <c r="BM90" s="43"/>
      <c r="BN90" s="43"/>
      <c r="BO90" s="43"/>
      <c r="BP90" s="43"/>
      <c r="BQ90" s="43"/>
      <c r="BR90" s="43"/>
      <c r="BS90" s="43"/>
      <c r="BT90" s="43"/>
      <c r="BU90" s="43"/>
      <c r="BV90" s="43"/>
      <c r="BW90" s="43"/>
      <c r="BX90" s="43"/>
      <c r="BY90" s="43"/>
      <c r="BZ90" s="43"/>
      <c r="CA90" s="43"/>
      <c r="CB90" s="43"/>
    </row>
    <row r="91" customFormat="false" ht="27.75" hidden="false" customHeight="true" outlineLevel="0" collapsed="false">
      <c r="B91" s="43" t="s">
        <v>207</v>
      </c>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row>
    <row r="92" customFormat="false" ht="27.75" hidden="false" customHeight="true" outlineLevel="0" collapsed="false">
      <c r="B92" s="43" t="s">
        <v>208</v>
      </c>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row>
    <row r="93" customFormat="false" ht="27.75" hidden="false" customHeight="true" outlineLevel="0" collapsed="false">
      <c r="B93" s="43" t="s">
        <v>209</v>
      </c>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row>
    <row r="94" customFormat="false" ht="27.75" hidden="false" customHeight="true" outlineLevel="0" collapsed="false">
      <c r="B94" s="43" t="s">
        <v>210</v>
      </c>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row>
  </sheetData>
  <mergeCells count="23">
    <mergeCell ref="A1:CB1"/>
    <mergeCell ref="A2:CB2"/>
    <mergeCell ref="A3:B3"/>
    <mergeCell ref="C3:D3"/>
    <mergeCell ref="E3:F3"/>
    <mergeCell ref="G3:H3"/>
    <mergeCell ref="I3:J3"/>
    <mergeCell ref="K3:L3"/>
    <mergeCell ref="M3:U3"/>
    <mergeCell ref="A4:B4"/>
    <mergeCell ref="C4:D4"/>
    <mergeCell ref="E4:F4"/>
    <mergeCell ref="G4:H4"/>
    <mergeCell ref="I4:J4"/>
    <mergeCell ref="K4:L4"/>
    <mergeCell ref="M4:U4"/>
    <mergeCell ref="B88:CB88"/>
    <mergeCell ref="B89:CB89"/>
    <mergeCell ref="B90:CB90"/>
    <mergeCell ref="B91:CB91"/>
    <mergeCell ref="B92:CB92"/>
    <mergeCell ref="B93:CB93"/>
    <mergeCell ref="B94:CB94"/>
  </mergeCells>
  <conditionalFormatting sqref="M7:CB73">
    <cfRule type="expression" priority="2" aboveAverage="0" equalAverage="0" bottom="0" percent="0" rank="0" text="" dxfId="0">
      <formula>AND(OR($I7="Gate",$I7="Deadline"),M$6=$D7,$I7="Deadline")</formula>
    </cfRule>
    <cfRule type="expression" priority="3" aboveAverage="0" equalAverage="0" bottom="0" percent="0" rank="0" text="" dxfId="1">
      <formula>AND($I7="Gate",M$6=$D7)</formula>
    </cfRule>
    <cfRule type="expression" priority="4" aboveAverage="0" equalAverage="0" bottom="0" percent="0" rank="0" text="" dxfId="2">
      <formula>AND($I7="Sprint",AND(M$6&gt;=$D7,M$6&lt;=$E7))</formula>
    </cfRule>
    <cfRule type="expression" priority="5" aboveAverage="0" equalAverage="0" bottom="0" percent="0" rank="0" text="" dxfId="3">
      <formula>AND($I7="Week",AND(M$6&gt;=$D7,M$6&lt;=$E7))</formula>
    </cfRule>
    <cfRule type="expression" priority="6" aboveAverage="0" equalAverage="0" bottom="0" percent="0" rank="0" text="" dxfId="4">
      <formula>AND($I7="Week",AND($J7&lt;&gt;"",M$6&gt;=$J7,M$6&lt;=$K7))</formula>
    </cfRule>
    <cfRule type="expression" priority="7" aboveAverage="0" equalAverage="0" bottom="0" percent="0" rank="0" text="" dxfId="5">
      <formula>AND($I7="Reserve",AND(M$6&gt;=$D7,M$6&lt;=$E7))</formula>
    </cfRule>
    <cfRule type="expression" priority="8" aboveAverage="0" equalAverage="0" bottom="0" percent="0" rank="0" text="" dxfId="6">
      <formula>AND($I7="Blackout",AND(M$6&gt;=$D7,M$6&lt;=$E7))</formula>
    </cfRule>
    <cfRule type="expression" priority="9" aboveAverage="0" equalAverage="0" bottom="0" percent="0" rank="0" text="" dxfId="7">
      <formula>AND($I7="Recurring",AND(M$6&gt;=$D7,M$6&lt;=$E7),WEEKDAY(M$6)=3)</formula>
    </cfRule>
    <cfRule type="expression" priority="10" aboveAverage="0" equalAverage="0" bottom="0" percent="0" rank="0" text="" dxfId="8">
      <formula>AND($I7="Task",$H7="Complete",AND(M$6&gt;=$D7,M$6&lt;=$E7))</formula>
    </cfRule>
    <cfRule type="expression" priority="11" aboveAverage="0" equalAverage="0" bottom="0" percent="0" rank="0" text="" dxfId="7">
      <formula>AND($I7="Task",AND(M$6&gt;=$D7,M$6&lt;=$E7))</formula>
    </cfRule>
    <cfRule type="expression" priority="12" aboveAverage="0" equalAverage="0" bottom="0" percent="0" rank="0" text="" dxfId="9">
      <formula>M$6=TODAY()</formula>
    </cfRule>
  </conditionalFormatting>
  <conditionalFormatting sqref="H7:H73">
    <cfRule type="expression" priority="13" aboveAverage="0" equalAverage="0" bottom="0" percent="0" rank="0" text="" dxfId="8">
      <formula>$H7="Complete"</formula>
    </cfRule>
    <cfRule type="expression" priority="14" aboveAverage="0" equalAverage="0" bottom="0" percent="0" rank="0" text="" dxfId="10">
      <formula>$H7="In progress"</formula>
    </cfRule>
    <cfRule type="expression" priority="15" aboveAverage="0" equalAverage="0" bottom="0" percent="0" rank="0" text="" dxfId="11">
      <formula>$H7="Due today"</formula>
    </cfRule>
    <cfRule type="expression" priority="16" aboveAverage="0" equalAverage="0" bottom="0" percent="0" rank="0" text="" dxfId="12">
      <formula>$H7="Replanned"</formula>
    </cfRule>
  </conditionalFormatting>
  <conditionalFormatting sqref="L7:L73">
    <cfRule type="expression" priority="17" aboveAverage="0" equalAverage="0" bottom="0" percent="0" rank="0" text="" dxfId="13">
      <formula>AND(ISNUMBER(L7),L7&gt;0)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6"/>
    <col collapsed="false" customWidth="true" hidden="false" outlineLevel="0" max="4" min="4" style="0" width="58"/>
    <col collapsed="false" customWidth="true" hidden="false" outlineLevel="0" max="5" min="5" style="0" width="40"/>
    <col collapsed="false" customWidth="true" hidden="false" outlineLevel="0" max="6" min="6" style="0" width="14"/>
  </cols>
  <sheetData>
    <row r="1" customFormat="false" ht="27.75" hidden="false" customHeight="true" outlineLevel="0" collapsed="false">
      <c r="A1" s="1" t="s">
        <v>211</v>
      </c>
      <c r="B1" s="1"/>
      <c r="C1" s="1"/>
      <c r="D1" s="1"/>
      <c r="E1" s="1"/>
      <c r="F1" s="1"/>
    </row>
    <row r="2" customFormat="false" ht="15" hidden="false" customHeight="false" outlineLevel="0" collapsed="false">
      <c r="A2" s="44" t="s">
        <v>212</v>
      </c>
      <c r="B2" s="44" t="s">
        <v>213</v>
      </c>
      <c r="C2" s="44" t="s">
        <v>214</v>
      </c>
      <c r="D2" s="44" t="s">
        <v>215</v>
      </c>
      <c r="E2" s="44" t="s">
        <v>216</v>
      </c>
      <c r="F2" s="44" t="s">
        <v>15</v>
      </c>
    </row>
    <row r="3" customFormat="false" ht="36" hidden="false" customHeight="true" outlineLevel="0" collapsed="false">
      <c r="A3" s="45" t="s">
        <v>217</v>
      </c>
      <c r="B3" s="46" t="s">
        <v>217</v>
      </c>
      <c r="C3" s="45" t="s">
        <v>218</v>
      </c>
      <c r="D3" s="47" t="s">
        <v>219</v>
      </c>
      <c r="E3" s="47" t="s">
        <v>220</v>
      </c>
      <c r="F3" s="45" t="s">
        <v>34</v>
      </c>
    </row>
    <row r="4" customFormat="false" ht="36" hidden="false" customHeight="true" outlineLevel="0" collapsed="false">
      <c r="A4" s="19" t="s">
        <v>221</v>
      </c>
      <c r="B4" s="48" t="s">
        <v>222</v>
      </c>
      <c r="C4" s="19" t="s">
        <v>223</v>
      </c>
      <c r="D4" s="20" t="s">
        <v>224</v>
      </c>
      <c r="E4" s="20" t="s">
        <v>225</v>
      </c>
      <c r="F4" s="19" t="s">
        <v>58</v>
      </c>
    </row>
    <row r="5" customFormat="false" ht="36" hidden="false" customHeight="true" outlineLevel="0" collapsed="false">
      <c r="A5" s="45" t="s">
        <v>222</v>
      </c>
      <c r="B5" s="46" t="s">
        <v>226</v>
      </c>
      <c r="C5" s="45" t="s">
        <v>227</v>
      </c>
      <c r="D5" s="47" t="s">
        <v>228</v>
      </c>
      <c r="E5" s="47" t="s">
        <v>229</v>
      </c>
      <c r="F5" s="45" t="s">
        <v>34</v>
      </c>
    </row>
    <row r="6" customFormat="false" ht="36" hidden="false" customHeight="true" outlineLevel="0" collapsed="false">
      <c r="A6" s="19" t="s">
        <v>226</v>
      </c>
      <c r="B6" s="48" t="s">
        <v>230</v>
      </c>
      <c r="C6" s="19" t="s">
        <v>231</v>
      </c>
      <c r="D6" s="20" t="s">
        <v>232</v>
      </c>
      <c r="E6" s="20" t="s">
        <v>233</v>
      </c>
      <c r="F6" s="19" t="s">
        <v>58</v>
      </c>
    </row>
    <row r="7" customFormat="false" ht="36" hidden="false" customHeight="true" outlineLevel="0" collapsed="false">
      <c r="A7" s="45" t="s">
        <v>226</v>
      </c>
      <c r="B7" s="46" t="s">
        <v>234</v>
      </c>
      <c r="C7" s="45" t="s">
        <v>235</v>
      </c>
      <c r="D7" s="47" t="s">
        <v>236</v>
      </c>
      <c r="E7" s="47" t="s">
        <v>237</v>
      </c>
      <c r="F7" s="45" t="s">
        <v>91</v>
      </c>
    </row>
    <row r="8" customFormat="false" ht="36" hidden="false" customHeight="true" outlineLevel="0" collapsed="false">
      <c r="A8" s="19" t="s">
        <v>230</v>
      </c>
      <c r="B8" s="48" t="s">
        <v>238</v>
      </c>
      <c r="C8" s="19" t="s">
        <v>239</v>
      </c>
      <c r="D8" s="20" t="s">
        <v>240</v>
      </c>
      <c r="E8" s="20" t="s">
        <v>241</v>
      </c>
      <c r="F8" s="19" t="s">
        <v>162</v>
      </c>
    </row>
    <row r="9" customFormat="false" ht="36" hidden="false" customHeight="true" outlineLevel="0" collapsed="false">
      <c r="A9" s="45" t="s">
        <v>230</v>
      </c>
      <c r="B9" s="46" t="s">
        <v>242</v>
      </c>
      <c r="C9" s="45" t="s">
        <v>243</v>
      </c>
      <c r="D9" s="47" t="s">
        <v>244</v>
      </c>
      <c r="E9" s="47" t="s">
        <v>245</v>
      </c>
      <c r="F9" s="45" t="s">
        <v>150</v>
      </c>
    </row>
    <row r="10" customFormat="false" ht="36" hidden="false" customHeight="true" outlineLevel="0" collapsed="false">
      <c r="A10" s="19" t="s">
        <v>234</v>
      </c>
      <c r="B10" s="48" t="s">
        <v>246</v>
      </c>
      <c r="C10" s="19" t="s">
        <v>247</v>
      </c>
      <c r="D10" s="20" t="s">
        <v>248</v>
      </c>
      <c r="E10" s="20" t="s">
        <v>249</v>
      </c>
      <c r="F10" s="19" t="s">
        <v>26</v>
      </c>
    </row>
  </sheetData>
  <mergeCells count="1">
    <mergeCell ref="A1:F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34"/>
    <col collapsed="false" customWidth="true" hidden="false" outlineLevel="0" max="4" min="4" style="0" width="12"/>
    <col collapsed="false" customWidth="true" hidden="false" outlineLevel="0" max="5" min="5" style="0" width="11"/>
    <col collapsed="false" customWidth="true" hidden="false" outlineLevel="0" max="6" min="6" style="0" width="10"/>
    <col collapsed="false" customWidth="true" hidden="false" outlineLevel="0" max="7" min="7" style="0" width="12"/>
  </cols>
  <sheetData>
    <row r="1" customFormat="false" ht="27.75" hidden="false" customHeight="true" outlineLevel="0" collapsed="false">
      <c r="A1" s="1" t="s">
        <v>250</v>
      </c>
      <c r="B1" s="1"/>
      <c r="C1" s="1"/>
      <c r="D1" s="1"/>
      <c r="E1" s="1"/>
      <c r="F1" s="1"/>
      <c r="G1" s="1"/>
    </row>
    <row r="2" customFormat="false" ht="22.35" hidden="false" customHeight="false" outlineLevel="0" collapsed="false">
      <c r="A2" s="44" t="s">
        <v>251</v>
      </c>
      <c r="B2" s="44" t="s">
        <v>252</v>
      </c>
      <c r="C2" s="44" t="s">
        <v>253</v>
      </c>
      <c r="D2" s="44" t="s">
        <v>254</v>
      </c>
      <c r="E2" s="44" t="s">
        <v>255</v>
      </c>
      <c r="F2" s="44" t="s">
        <v>256</v>
      </c>
      <c r="G2" s="44" t="s">
        <v>257</v>
      </c>
    </row>
    <row r="3" customFormat="false" ht="33.75" hidden="false" customHeight="true" outlineLevel="0" collapsed="false">
      <c r="A3" s="46" t="s">
        <v>258</v>
      </c>
      <c r="B3" s="47" t="s">
        <v>259</v>
      </c>
      <c r="C3" s="47" t="s">
        <v>260</v>
      </c>
      <c r="D3" s="45" t="n">
        <f aca="false">SUMPRODUCT((Schedule!I7:I73="Task")*((ISNUMBER(SEARCH("Carl",Schedule!C7:C73))+ISNUMBER(SEARCH("All",Schedule!C7:C73)))&gt;0))</f>
        <v>21</v>
      </c>
      <c r="E3" s="45" t="n">
        <v>12</v>
      </c>
      <c r="F3" s="45" t="n">
        <v>8</v>
      </c>
      <c r="G3" s="45" t="n">
        <f aca="false">E3*F3</f>
        <v>96</v>
      </c>
    </row>
    <row r="4" customFormat="false" ht="33.75" hidden="false" customHeight="true" outlineLevel="0" collapsed="false">
      <c r="A4" s="48" t="s">
        <v>261</v>
      </c>
      <c r="B4" s="20" t="s">
        <v>262</v>
      </c>
      <c r="C4" s="20" t="s">
        <v>263</v>
      </c>
      <c r="D4" s="19" t="n">
        <f aca="false">SUMPRODUCT((Schedule!I7:I73="Task")*((ISNUMBER(SEARCH("Jaden",Schedule!C7:C73))+ISNUMBER(SEARCH("All",Schedule!C7:C73)))&gt;0))</f>
        <v>18</v>
      </c>
      <c r="E4" s="19" t="n">
        <v>12</v>
      </c>
      <c r="F4" s="19" t="n">
        <v>8</v>
      </c>
      <c r="G4" s="19" t="n">
        <f aca="false">E4*F4</f>
        <v>96</v>
      </c>
    </row>
    <row r="5" customFormat="false" ht="33.75" hidden="false" customHeight="true" outlineLevel="0" collapsed="false">
      <c r="A5" s="46" t="s">
        <v>264</v>
      </c>
      <c r="B5" s="47" t="s">
        <v>265</v>
      </c>
      <c r="C5" s="47" t="s">
        <v>266</v>
      </c>
      <c r="D5" s="45" t="n">
        <f aca="false">SUMPRODUCT((Schedule!I7:I73="Task")*((ISNUMBER(SEARCH("Michael",Schedule!C7:C73))+ISNUMBER(SEARCH("All",Schedule!C7:C73)))&gt;0))</f>
        <v>18</v>
      </c>
      <c r="E5" s="45" t="n">
        <v>12</v>
      </c>
      <c r="F5" s="45" t="n">
        <v>8</v>
      </c>
      <c r="G5" s="45" t="n">
        <f aca="false">E5*F5</f>
        <v>96</v>
      </c>
    </row>
    <row r="6" customFormat="false" ht="33.75" hidden="false" customHeight="true" outlineLevel="0" collapsed="false">
      <c r="A6" s="48" t="s">
        <v>267</v>
      </c>
      <c r="B6" s="20" t="s">
        <v>268</v>
      </c>
      <c r="C6" s="20" t="s">
        <v>269</v>
      </c>
      <c r="D6" s="19" t="n">
        <f aca="false">SUMPRODUCT((Schedule!I7:I73="Task")*((ISNUMBER(SEARCH("Devam",Schedule!C7:C73))+ISNUMBER(SEARCH("All",Schedule!C7:C73)))&gt;0))</f>
        <v>18</v>
      </c>
      <c r="E6" s="19" t="n">
        <v>12</v>
      </c>
      <c r="F6" s="19" t="n">
        <v>8</v>
      </c>
      <c r="G6" s="19" t="n">
        <f aca="false">E6*F6</f>
        <v>96</v>
      </c>
    </row>
    <row r="7" customFormat="false" ht="15" hidden="false" customHeight="false" outlineLevel="0" collapsed="false">
      <c r="A7" s="11" t="s">
        <v>270</v>
      </c>
      <c r="B7" s="11"/>
      <c r="C7" s="11"/>
      <c r="D7" s="11"/>
      <c r="E7" s="11"/>
      <c r="F7" s="11"/>
      <c r="G7" s="11" t="n">
        <f aca="false">SUM(G3:G6)</f>
        <v>384</v>
      </c>
    </row>
    <row r="9" customFormat="false" ht="15" hidden="false" customHeight="false" outlineLevel="0" collapsed="false">
      <c r="A9" s="49" t="s">
        <v>271</v>
      </c>
    </row>
    <row r="10" customFormat="false" ht="15" hidden="false" customHeight="false" outlineLevel="0" collapsed="false">
      <c r="A10" s="49" t="s">
        <v>272</v>
      </c>
    </row>
    <row r="11" customFormat="false" ht="15" hidden="false" customHeight="false" outlineLevel="0" collapsed="false">
      <c r="A11" s="49" t="s">
        <v>273</v>
      </c>
    </row>
  </sheetData>
  <mergeCells count="1">
    <mergeCell ref="A1:G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2026-10-14T00:27:29Z</dcterms:created>
  <dc:creator>openpyxl</dc:creator>
  <dc:description/>
  <dc:language>en-US</dc:language>
  <cp:lastModifiedBy/>
  <dcterms:modified xsi:type="dcterms:W3CDTF">2026-10-14T00:27:29Z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